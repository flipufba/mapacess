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Projeto_Qgis\"/>
    </mc:Choice>
  </mc:AlternateContent>
  <bookViews>
    <workbookView xWindow="-105" yWindow="-105" windowWidth="19425" windowHeight="10305"/>
  </bookViews>
  <sheets>
    <sheet name="planilha caminhabilida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" l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F3" i="1"/>
  <c r="AF4" i="1"/>
  <c r="AO4" i="1" s="1"/>
  <c r="AF5" i="1"/>
  <c r="AF6" i="1"/>
  <c r="AF7" i="1"/>
  <c r="AF8" i="1"/>
  <c r="AF9" i="1"/>
  <c r="AF10" i="1"/>
  <c r="AF11" i="1"/>
  <c r="AF12" i="1"/>
  <c r="AO12" i="1" s="1"/>
  <c r="AF13" i="1"/>
  <c r="AF14" i="1"/>
  <c r="AF15" i="1"/>
  <c r="AF16" i="1"/>
  <c r="AF17" i="1"/>
  <c r="AF18" i="1"/>
  <c r="AF19" i="1"/>
  <c r="AF20" i="1"/>
  <c r="AO20" i="1" s="1"/>
  <c r="AF21" i="1"/>
  <c r="AF22" i="1"/>
  <c r="AF23" i="1"/>
  <c r="AF24" i="1"/>
  <c r="AF25" i="1"/>
  <c r="AF26" i="1"/>
  <c r="AF27" i="1"/>
  <c r="AF28" i="1"/>
  <c r="AO28" i="1" s="1"/>
  <c r="AF29" i="1"/>
  <c r="AF30" i="1"/>
  <c r="AF31" i="1"/>
  <c r="AF32" i="1"/>
  <c r="AF33" i="1"/>
  <c r="AF34" i="1"/>
  <c r="AF35" i="1"/>
  <c r="AF36" i="1"/>
  <c r="AO36" i="1" s="1"/>
  <c r="AF37" i="1"/>
  <c r="AF38" i="1"/>
  <c r="AF39" i="1"/>
  <c r="AF40" i="1"/>
  <c r="AF41" i="1"/>
  <c r="AF42" i="1"/>
  <c r="AF43" i="1"/>
  <c r="AF44" i="1"/>
  <c r="AO44" i="1" s="1"/>
  <c r="AF45" i="1"/>
  <c r="AF46" i="1"/>
  <c r="AF47" i="1"/>
  <c r="AF48" i="1"/>
  <c r="AF49" i="1"/>
  <c r="AF50" i="1"/>
  <c r="AF51" i="1"/>
  <c r="AF52" i="1"/>
  <c r="AO52" i="1" s="1"/>
  <c r="AF53" i="1"/>
  <c r="AF54" i="1"/>
  <c r="AF55" i="1"/>
  <c r="AF56" i="1"/>
  <c r="AF57" i="1"/>
  <c r="AF58" i="1"/>
  <c r="AF59" i="1"/>
  <c r="AF60" i="1"/>
  <c r="AO60" i="1" s="1"/>
  <c r="AF61" i="1"/>
  <c r="AF62" i="1"/>
  <c r="AF63" i="1"/>
  <c r="AF64" i="1"/>
  <c r="AF65" i="1"/>
  <c r="AF66" i="1"/>
  <c r="AF67" i="1"/>
  <c r="AF68" i="1"/>
  <c r="AO68" i="1" s="1"/>
  <c r="AF69" i="1"/>
  <c r="AF70" i="1"/>
  <c r="AF71" i="1"/>
  <c r="AF72" i="1"/>
  <c r="AF73" i="1"/>
  <c r="AF74" i="1"/>
  <c r="AF75" i="1"/>
  <c r="AF76" i="1"/>
  <c r="AO76" i="1" s="1"/>
  <c r="AF77" i="1"/>
  <c r="AF78" i="1"/>
  <c r="AF79" i="1"/>
  <c r="AF80" i="1"/>
  <c r="AF81" i="1"/>
  <c r="AF82" i="1"/>
  <c r="AF83" i="1"/>
  <c r="AF84" i="1"/>
  <c r="AO84" i="1" s="1"/>
  <c r="AF85" i="1"/>
  <c r="AF86" i="1"/>
  <c r="AF87" i="1"/>
  <c r="AF88" i="1"/>
  <c r="AF89" i="1"/>
  <c r="AF90" i="1"/>
  <c r="AF91" i="1"/>
  <c r="AF92" i="1"/>
  <c r="AO92" i="1" s="1"/>
  <c r="AF93" i="1"/>
  <c r="AF94" i="1"/>
  <c r="AF95" i="1"/>
  <c r="AF96" i="1"/>
  <c r="AF97" i="1"/>
  <c r="AF98" i="1"/>
  <c r="AF99" i="1"/>
  <c r="AF100" i="1"/>
  <c r="AO100" i="1" s="1"/>
  <c r="AF101" i="1"/>
  <c r="AF102" i="1"/>
  <c r="AF103" i="1"/>
  <c r="AF104" i="1"/>
  <c r="AF105" i="1"/>
  <c r="AF106" i="1"/>
  <c r="AF107" i="1"/>
  <c r="AF108" i="1"/>
  <c r="AO108" i="1" s="1"/>
  <c r="AF109" i="1"/>
  <c r="AF110" i="1"/>
  <c r="AF111" i="1"/>
  <c r="AF112" i="1"/>
  <c r="AF113" i="1"/>
  <c r="AF114" i="1"/>
  <c r="AF115" i="1"/>
  <c r="AF116" i="1"/>
  <c r="AO116" i="1" s="1"/>
  <c r="AF117" i="1"/>
  <c r="AF118" i="1"/>
  <c r="AF119" i="1"/>
  <c r="AF120" i="1"/>
  <c r="AF121" i="1"/>
  <c r="AF122" i="1"/>
  <c r="AF123" i="1"/>
  <c r="AF124" i="1"/>
  <c r="AO124" i="1" s="1"/>
  <c r="AF125" i="1"/>
  <c r="AF126" i="1"/>
  <c r="AF127" i="1"/>
  <c r="AF128" i="1"/>
  <c r="AF129" i="1"/>
  <c r="AF130" i="1"/>
  <c r="AF131" i="1"/>
  <c r="AF132" i="1"/>
  <c r="AO132" i="1" s="1"/>
  <c r="AF133" i="1"/>
  <c r="AF134" i="1"/>
  <c r="AF135" i="1"/>
  <c r="AF136" i="1"/>
  <c r="AF137" i="1"/>
  <c r="AF138" i="1"/>
  <c r="AF139" i="1"/>
  <c r="AF140" i="1"/>
  <c r="AO140" i="1" s="1"/>
  <c r="AF141" i="1"/>
  <c r="AF142" i="1"/>
  <c r="AF143" i="1"/>
  <c r="AF144" i="1"/>
  <c r="AF145" i="1"/>
  <c r="AF146" i="1"/>
  <c r="AF147" i="1"/>
  <c r="AF148" i="1"/>
  <c r="AO148" i="1" s="1"/>
  <c r="AF149" i="1"/>
  <c r="AF150" i="1"/>
  <c r="AF151" i="1"/>
  <c r="AF152" i="1"/>
  <c r="AF153" i="1"/>
  <c r="AF154" i="1"/>
  <c r="AF155" i="1"/>
  <c r="AF156" i="1"/>
  <c r="AO156" i="1" s="1"/>
  <c r="AF157" i="1"/>
  <c r="AF158" i="1"/>
  <c r="AF159" i="1"/>
  <c r="AF160" i="1"/>
  <c r="AF161" i="1"/>
  <c r="AF162" i="1"/>
  <c r="AF163" i="1"/>
  <c r="AF164" i="1"/>
  <c r="AO164" i="1" s="1"/>
  <c r="AF165" i="1"/>
  <c r="AF166" i="1"/>
  <c r="AF167" i="1"/>
  <c r="AF168" i="1"/>
  <c r="AF169" i="1"/>
  <c r="AF170" i="1"/>
  <c r="AF171" i="1"/>
  <c r="AF172" i="1"/>
  <c r="AO172" i="1" s="1"/>
  <c r="AF173" i="1"/>
  <c r="AF174" i="1"/>
  <c r="AF175" i="1"/>
  <c r="AF176" i="1"/>
  <c r="AF177" i="1"/>
  <c r="AF178" i="1"/>
  <c r="AF179" i="1"/>
  <c r="AF180" i="1"/>
  <c r="AO180" i="1" s="1"/>
  <c r="AF181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D3" i="1"/>
  <c r="AN3" i="1" s="1"/>
  <c r="AD4" i="1"/>
  <c r="AD5" i="1"/>
  <c r="AD6" i="1"/>
  <c r="AN6" i="1" s="1"/>
  <c r="AD7" i="1"/>
  <c r="AD8" i="1"/>
  <c r="AD9" i="1"/>
  <c r="AD10" i="1"/>
  <c r="AD11" i="1"/>
  <c r="AN11" i="1" s="1"/>
  <c r="AD12" i="1"/>
  <c r="AD13" i="1"/>
  <c r="AD14" i="1"/>
  <c r="AN14" i="1" s="1"/>
  <c r="AD15" i="1"/>
  <c r="AD16" i="1"/>
  <c r="AD17" i="1"/>
  <c r="AD18" i="1"/>
  <c r="AD19" i="1"/>
  <c r="AN19" i="1" s="1"/>
  <c r="AD20" i="1"/>
  <c r="AD21" i="1"/>
  <c r="AD22" i="1"/>
  <c r="AN22" i="1" s="1"/>
  <c r="AD23" i="1"/>
  <c r="AD24" i="1"/>
  <c r="AD25" i="1"/>
  <c r="AD26" i="1"/>
  <c r="AD27" i="1"/>
  <c r="AN27" i="1" s="1"/>
  <c r="AD28" i="1"/>
  <c r="AD29" i="1"/>
  <c r="AD30" i="1"/>
  <c r="AN30" i="1" s="1"/>
  <c r="AD31" i="1"/>
  <c r="AD32" i="1"/>
  <c r="AD33" i="1"/>
  <c r="AD34" i="1"/>
  <c r="AD35" i="1"/>
  <c r="AN35" i="1" s="1"/>
  <c r="AD36" i="1"/>
  <c r="AD37" i="1"/>
  <c r="AD38" i="1"/>
  <c r="AN38" i="1" s="1"/>
  <c r="AD39" i="1"/>
  <c r="AD40" i="1"/>
  <c r="AD41" i="1"/>
  <c r="AD42" i="1"/>
  <c r="AD43" i="1"/>
  <c r="AN43" i="1" s="1"/>
  <c r="AD44" i="1"/>
  <c r="AD45" i="1"/>
  <c r="AD46" i="1"/>
  <c r="AN46" i="1" s="1"/>
  <c r="AD47" i="1"/>
  <c r="AD48" i="1"/>
  <c r="AD49" i="1"/>
  <c r="AD50" i="1"/>
  <c r="AD51" i="1"/>
  <c r="AN51" i="1" s="1"/>
  <c r="AD52" i="1"/>
  <c r="AD53" i="1"/>
  <c r="AD54" i="1"/>
  <c r="AN54" i="1" s="1"/>
  <c r="AD55" i="1"/>
  <c r="AD56" i="1"/>
  <c r="AD57" i="1"/>
  <c r="AD58" i="1"/>
  <c r="AD59" i="1"/>
  <c r="AN59" i="1" s="1"/>
  <c r="AD60" i="1"/>
  <c r="AD61" i="1"/>
  <c r="AD62" i="1"/>
  <c r="AN62" i="1" s="1"/>
  <c r="AD63" i="1"/>
  <c r="AD64" i="1"/>
  <c r="AD65" i="1"/>
  <c r="AD66" i="1"/>
  <c r="AD67" i="1"/>
  <c r="AN67" i="1" s="1"/>
  <c r="AD68" i="1"/>
  <c r="AD69" i="1"/>
  <c r="AD70" i="1"/>
  <c r="AN70" i="1" s="1"/>
  <c r="AD71" i="1"/>
  <c r="AD72" i="1"/>
  <c r="AD73" i="1"/>
  <c r="AD74" i="1"/>
  <c r="AD75" i="1"/>
  <c r="AN75" i="1" s="1"/>
  <c r="AD76" i="1"/>
  <c r="AD77" i="1"/>
  <c r="AD78" i="1"/>
  <c r="AN78" i="1" s="1"/>
  <c r="AD79" i="1"/>
  <c r="AD80" i="1"/>
  <c r="AD81" i="1"/>
  <c r="AD82" i="1"/>
  <c r="AD83" i="1"/>
  <c r="AN83" i="1" s="1"/>
  <c r="AD84" i="1"/>
  <c r="AD85" i="1"/>
  <c r="AD86" i="1"/>
  <c r="AN86" i="1" s="1"/>
  <c r="AD87" i="1"/>
  <c r="AD88" i="1"/>
  <c r="AD89" i="1"/>
  <c r="AD90" i="1"/>
  <c r="AD91" i="1"/>
  <c r="AN91" i="1" s="1"/>
  <c r="AD92" i="1"/>
  <c r="AD93" i="1"/>
  <c r="AD94" i="1"/>
  <c r="AN94" i="1" s="1"/>
  <c r="AD95" i="1"/>
  <c r="AD96" i="1"/>
  <c r="AD97" i="1"/>
  <c r="AD98" i="1"/>
  <c r="AD99" i="1"/>
  <c r="AN99" i="1" s="1"/>
  <c r="AD100" i="1"/>
  <c r="AD101" i="1"/>
  <c r="AD102" i="1"/>
  <c r="AN102" i="1" s="1"/>
  <c r="AD103" i="1"/>
  <c r="AD104" i="1"/>
  <c r="AD105" i="1"/>
  <c r="AD106" i="1"/>
  <c r="AD107" i="1"/>
  <c r="AN107" i="1" s="1"/>
  <c r="AD108" i="1"/>
  <c r="AD109" i="1"/>
  <c r="AD110" i="1"/>
  <c r="AN110" i="1" s="1"/>
  <c r="AD111" i="1"/>
  <c r="AD112" i="1"/>
  <c r="AD113" i="1"/>
  <c r="AD114" i="1"/>
  <c r="AD115" i="1"/>
  <c r="AN115" i="1" s="1"/>
  <c r="AD116" i="1"/>
  <c r="AD117" i="1"/>
  <c r="AD118" i="1"/>
  <c r="AN118" i="1" s="1"/>
  <c r="AD119" i="1"/>
  <c r="AD120" i="1"/>
  <c r="AD121" i="1"/>
  <c r="AD122" i="1"/>
  <c r="AD123" i="1"/>
  <c r="AN123" i="1" s="1"/>
  <c r="AD124" i="1"/>
  <c r="AD125" i="1"/>
  <c r="AD126" i="1"/>
  <c r="AN126" i="1" s="1"/>
  <c r="AD127" i="1"/>
  <c r="AD128" i="1"/>
  <c r="AD129" i="1"/>
  <c r="AD130" i="1"/>
  <c r="AD131" i="1"/>
  <c r="AN131" i="1" s="1"/>
  <c r="AD132" i="1"/>
  <c r="AD133" i="1"/>
  <c r="AD134" i="1"/>
  <c r="AN134" i="1" s="1"/>
  <c r="AD135" i="1"/>
  <c r="AD136" i="1"/>
  <c r="AD137" i="1"/>
  <c r="AD138" i="1"/>
  <c r="AD139" i="1"/>
  <c r="AN139" i="1" s="1"/>
  <c r="AD140" i="1"/>
  <c r="AD141" i="1"/>
  <c r="AD142" i="1"/>
  <c r="AN142" i="1" s="1"/>
  <c r="AD143" i="1"/>
  <c r="AD144" i="1"/>
  <c r="AD145" i="1"/>
  <c r="AD146" i="1"/>
  <c r="AD147" i="1"/>
  <c r="AN147" i="1" s="1"/>
  <c r="AD148" i="1"/>
  <c r="AD149" i="1"/>
  <c r="AD150" i="1"/>
  <c r="AN150" i="1" s="1"/>
  <c r="AD151" i="1"/>
  <c r="AD152" i="1"/>
  <c r="AD153" i="1"/>
  <c r="AD154" i="1"/>
  <c r="AD155" i="1"/>
  <c r="AN155" i="1" s="1"/>
  <c r="AD156" i="1"/>
  <c r="AD157" i="1"/>
  <c r="AD158" i="1"/>
  <c r="AN158" i="1" s="1"/>
  <c r="AD159" i="1"/>
  <c r="AD160" i="1"/>
  <c r="AD161" i="1"/>
  <c r="AD162" i="1"/>
  <c r="AD163" i="1"/>
  <c r="AN163" i="1" s="1"/>
  <c r="AD164" i="1"/>
  <c r="AD165" i="1"/>
  <c r="AD166" i="1"/>
  <c r="AN166" i="1" s="1"/>
  <c r="AD167" i="1"/>
  <c r="AD168" i="1"/>
  <c r="AD169" i="1"/>
  <c r="AD170" i="1"/>
  <c r="AD171" i="1"/>
  <c r="AN171" i="1" s="1"/>
  <c r="AD172" i="1"/>
  <c r="AD173" i="1"/>
  <c r="AD174" i="1"/>
  <c r="AN174" i="1" s="1"/>
  <c r="AD175" i="1"/>
  <c r="AD176" i="1"/>
  <c r="AD177" i="1"/>
  <c r="AD178" i="1"/>
  <c r="AD179" i="1"/>
  <c r="AN179" i="1" s="1"/>
  <c r="AD180" i="1"/>
  <c r="AD181" i="1"/>
  <c r="AC3" i="1"/>
  <c r="AM3" i="1" s="1"/>
  <c r="AC4" i="1"/>
  <c r="AM4" i="1" s="1"/>
  <c r="AC5" i="1"/>
  <c r="AM5" i="1" s="1"/>
  <c r="AC6" i="1"/>
  <c r="AM6" i="1" s="1"/>
  <c r="AC7" i="1"/>
  <c r="AM7" i="1" s="1"/>
  <c r="AC8" i="1"/>
  <c r="AM8" i="1" s="1"/>
  <c r="AC9" i="1"/>
  <c r="AM9" i="1" s="1"/>
  <c r="AC10" i="1"/>
  <c r="AM10" i="1" s="1"/>
  <c r="AC11" i="1"/>
  <c r="AM11" i="1" s="1"/>
  <c r="AC12" i="1"/>
  <c r="AM12" i="1" s="1"/>
  <c r="AC13" i="1"/>
  <c r="AM13" i="1" s="1"/>
  <c r="AC14" i="1"/>
  <c r="AM14" i="1" s="1"/>
  <c r="AC15" i="1"/>
  <c r="AM15" i="1" s="1"/>
  <c r="AC16" i="1"/>
  <c r="AM16" i="1" s="1"/>
  <c r="AC17" i="1"/>
  <c r="AM17" i="1" s="1"/>
  <c r="AC18" i="1"/>
  <c r="AM18" i="1" s="1"/>
  <c r="AC19" i="1"/>
  <c r="AM19" i="1" s="1"/>
  <c r="AC20" i="1"/>
  <c r="AM20" i="1" s="1"/>
  <c r="AC21" i="1"/>
  <c r="AM21" i="1" s="1"/>
  <c r="AC22" i="1"/>
  <c r="AM22" i="1" s="1"/>
  <c r="AC23" i="1"/>
  <c r="AM23" i="1" s="1"/>
  <c r="AC24" i="1"/>
  <c r="AM24" i="1" s="1"/>
  <c r="AC25" i="1"/>
  <c r="AM25" i="1" s="1"/>
  <c r="AC26" i="1"/>
  <c r="AM26" i="1" s="1"/>
  <c r="AC27" i="1"/>
  <c r="AM27" i="1" s="1"/>
  <c r="AC28" i="1"/>
  <c r="AM28" i="1" s="1"/>
  <c r="AC29" i="1"/>
  <c r="AM29" i="1" s="1"/>
  <c r="AC30" i="1"/>
  <c r="AM30" i="1" s="1"/>
  <c r="AC31" i="1"/>
  <c r="AM31" i="1" s="1"/>
  <c r="AC32" i="1"/>
  <c r="AM32" i="1" s="1"/>
  <c r="AC33" i="1"/>
  <c r="AM33" i="1" s="1"/>
  <c r="AC34" i="1"/>
  <c r="AM34" i="1" s="1"/>
  <c r="AC35" i="1"/>
  <c r="AM35" i="1" s="1"/>
  <c r="AC36" i="1"/>
  <c r="AM36" i="1" s="1"/>
  <c r="AC37" i="1"/>
  <c r="AM37" i="1" s="1"/>
  <c r="AC38" i="1"/>
  <c r="AM38" i="1" s="1"/>
  <c r="AC39" i="1"/>
  <c r="AM39" i="1" s="1"/>
  <c r="AC40" i="1"/>
  <c r="AM40" i="1" s="1"/>
  <c r="AC41" i="1"/>
  <c r="AM41" i="1" s="1"/>
  <c r="AC42" i="1"/>
  <c r="AM42" i="1" s="1"/>
  <c r="AC43" i="1"/>
  <c r="AM43" i="1" s="1"/>
  <c r="AC44" i="1"/>
  <c r="AM44" i="1" s="1"/>
  <c r="AC45" i="1"/>
  <c r="AM45" i="1" s="1"/>
  <c r="AC46" i="1"/>
  <c r="AM46" i="1" s="1"/>
  <c r="AC47" i="1"/>
  <c r="AM47" i="1" s="1"/>
  <c r="AC48" i="1"/>
  <c r="AM48" i="1" s="1"/>
  <c r="AC49" i="1"/>
  <c r="AM49" i="1" s="1"/>
  <c r="AC50" i="1"/>
  <c r="AM50" i="1" s="1"/>
  <c r="AC51" i="1"/>
  <c r="AM51" i="1" s="1"/>
  <c r="AC52" i="1"/>
  <c r="AM52" i="1" s="1"/>
  <c r="AC53" i="1"/>
  <c r="AM53" i="1" s="1"/>
  <c r="AC54" i="1"/>
  <c r="AM54" i="1" s="1"/>
  <c r="AC55" i="1"/>
  <c r="AM55" i="1" s="1"/>
  <c r="AC56" i="1"/>
  <c r="AM56" i="1" s="1"/>
  <c r="AC57" i="1"/>
  <c r="AM57" i="1" s="1"/>
  <c r="AC58" i="1"/>
  <c r="AM58" i="1" s="1"/>
  <c r="AC59" i="1"/>
  <c r="AM59" i="1" s="1"/>
  <c r="AC60" i="1"/>
  <c r="AM60" i="1" s="1"/>
  <c r="AC61" i="1"/>
  <c r="AM61" i="1" s="1"/>
  <c r="AC62" i="1"/>
  <c r="AM62" i="1" s="1"/>
  <c r="AC63" i="1"/>
  <c r="AM63" i="1" s="1"/>
  <c r="AC64" i="1"/>
  <c r="AM64" i="1" s="1"/>
  <c r="AC65" i="1"/>
  <c r="AM65" i="1" s="1"/>
  <c r="AC66" i="1"/>
  <c r="AM66" i="1" s="1"/>
  <c r="AC67" i="1"/>
  <c r="AM67" i="1" s="1"/>
  <c r="AC68" i="1"/>
  <c r="AM68" i="1" s="1"/>
  <c r="AC69" i="1"/>
  <c r="AM69" i="1" s="1"/>
  <c r="AC70" i="1"/>
  <c r="AM70" i="1" s="1"/>
  <c r="AC71" i="1"/>
  <c r="AM71" i="1" s="1"/>
  <c r="AC72" i="1"/>
  <c r="AM72" i="1" s="1"/>
  <c r="AC73" i="1"/>
  <c r="AM73" i="1" s="1"/>
  <c r="AC74" i="1"/>
  <c r="AM74" i="1" s="1"/>
  <c r="AC75" i="1"/>
  <c r="AM75" i="1" s="1"/>
  <c r="AC76" i="1"/>
  <c r="AM76" i="1" s="1"/>
  <c r="AC77" i="1"/>
  <c r="AM77" i="1" s="1"/>
  <c r="AC78" i="1"/>
  <c r="AM78" i="1" s="1"/>
  <c r="AC79" i="1"/>
  <c r="AM79" i="1" s="1"/>
  <c r="AC80" i="1"/>
  <c r="AM80" i="1" s="1"/>
  <c r="AC81" i="1"/>
  <c r="AM81" i="1" s="1"/>
  <c r="AC82" i="1"/>
  <c r="AM82" i="1" s="1"/>
  <c r="AC83" i="1"/>
  <c r="AM83" i="1" s="1"/>
  <c r="AC84" i="1"/>
  <c r="AM84" i="1" s="1"/>
  <c r="AC85" i="1"/>
  <c r="AM85" i="1" s="1"/>
  <c r="AC86" i="1"/>
  <c r="AM86" i="1" s="1"/>
  <c r="AC87" i="1"/>
  <c r="AM87" i="1" s="1"/>
  <c r="AC88" i="1"/>
  <c r="AM88" i="1" s="1"/>
  <c r="AC89" i="1"/>
  <c r="AM89" i="1" s="1"/>
  <c r="AC90" i="1"/>
  <c r="AM90" i="1" s="1"/>
  <c r="AC91" i="1"/>
  <c r="AM91" i="1" s="1"/>
  <c r="AC92" i="1"/>
  <c r="AM92" i="1" s="1"/>
  <c r="AC93" i="1"/>
  <c r="AM93" i="1" s="1"/>
  <c r="AC94" i="1"/>
  <c r="AM94" i="1" s="1"/>
  <c r="AC95" i="1"/>
  <c r="AM95" i="1" s="1"/>
  <c r="AC96" i="1"/>
  <c r="AM96" i="1" s="1"/>
  <c r="AC97" i="1"/>
  <c r="AM97" i="1" s="1"/>
  <c r="AC98" i="1"/>
  <c r="AM98" i="1" s="1"/>
  <c r="AC99" i="1"/>
  <c r="AM99" i="1" s="1"/>
  <c r="AC100" i="1"/>
  <c r="AM100" i="1" s="1"/>
  <c r="AC101" i="1"/>
  <c r="AM101" i="1" s="1"/>
  <c r="AC102" i="1"/>
  <c r="AM102" i="1" s="1"/>
  <c r="AC103" i="1"/>
  <c r="AM103" i="1" s="1"/>
  <c r="AC104" i="1"/>
  <c r="AM104" i="1" s="1"/>
  <c r="AC105" i="1"/>
  <c r="AM105" i="1" s="1"/>
  <c r="AC106" i="1"/>
  <c r="AM106" i="1" s="1"/>
  <c r="AC107" i="1"/>
  <c r="AM107" i="1" s="1"/>
  <c r="AC108" i="1"/>
  <c r="AM108" i="1" s="1"/>
  <c r="AC109" i="1"/>
  <c r="AM109" i="1" s="1"/>
  <c r="AC110" i="1"/>
  <c r="AM110" i="1" s="1"/>
  <c r="AC111" i="1"/>
  <c r="AM111" i="1" s="1"/>
  <c r="AC112" i="1"/>
  <c r="AM112" i="1" s="1"/>
  <c r="AC113" i="1"/>
  <c r="AM113" i="1" s="1"/>
  <c r="AC114" i="1"/>
  <c r="AM114" i="1" s="1"/>
  <c r="AC115" i="1"/>
  <c r="AM115" i="1" s="1"/>
  <c r="AC116" i="1"/>
  <c r="AM116" i="1" s="1"/>
  <c r="AC117" i="1"/>
  <c r="AM117" i="1" s="1"/>
  <c r="AC118" i="1"/>
  <c r="AM118" i="1" s="1"/>
  <c r="AC119" i="1"/>
  <c r="AM119" i="1" s="1"/>
  <c r="AC120" i="1"/>
  <c r="AM120" i="1" s="1"/>
  <c r="AC121" i="1"/>
  <c r="AM121" i="1" s="1"/>
  <c r="AC122" i="1"/>
  <c r="AM122" i="1" s="1"/>
  <c r="AC123" i="1"/>
  <c r="AM123" i="1" s="1"/>
  <c r="AC124" i="1"/>
  <c r="AM124" i="1" s="1"/>
  <c r="AC125" i="1"/>
  <c r="AM125" i="1" s="1"/>
  <c r="AC126" i="1"/>
  <c r="AM126" i="1" s="1"/>
  <c r="AC127" i="1"/>
  <c r="AM127" i="1" s="1"/>
  <c r="AC128" i="1"/>
  <c r="AM128" i="1" s="1"/>
  <c r="AC129" i="1"/>
  <c r="AM129" i="1" s="1"/>
  <c r="AC130" i="1"/>
  <c r="AM130" i="1" s="1"/>
  <c r="AC131" i="1"/>
  <c r="AM131" i="1" s="1"/>
  <c r="AC132" i="1"/>
  <c r="AM132" i="1" s="1"/>
  <c r="AC133" i="1"/>
  <c r="AM133" i="1" s="1"/>
  <c r="AC134" i="1"/>
  <c r="AM134" i="1" s="1"/>
  <c r="AC135" i="1"/>
  <c r="AM135" i="1" s="1"/>
  <c r="AC136" i="1"/>
  <c r="AM136" i="1" s="1"/>
  <c r="AC137" i="1"/>
  <c r="AM137" i="1" s="1"/>
  <c r="AC138" i="1"/>
  <c r="AM138" i="1" s="1"/>
  <c r="AC139" i="1"/>
  <c r="AM139" i="1" s="1"/>
  <c r="AC140" i="1"/>
  <c r="AM140" i="1" s="1"/>
  <c r="AC141" i="1"/>
  <c r="AM141" i="1" s="1"/>
  <c r="AC142" i="1"/>
  <c r="AM142" i="1" s="1"/>
  <c r="AC143" i="1"/>
  <c r="AM143" i="1" s="1"/>
  <c r="AC144" i="1"/>
  <c r="AM144" i="1" s="1"/>
  <c r="AC145" i="1"/>
  <c r="AM145" i="1" s="1"/>
  <c r="AC146" i="1"/>
  <c r="AM146" i="1" s="1"/>
  <c r="AC147" i="1"/>
  <c r="AM147" i="1" s="1"/>
  <c r="AC148" i="1"/>
  <c r="AM148" i="1" s="1"/>
  <c r="AC149" i="1"/>
  <c r="AM149" i="1" s="1"/>
  <c r="AC150" i="1"/>
  <c r="AM150" i="1" s="1"/>
  <c r="AC151" i="1"/>
  <c r="AM151" i="1" s="1"/>
  <c r="AC152" i="1"/>
  <c r="AM152" i="1" s="1"/>
  <c r="AC153" i="1"/>
  <c r="AM153" i="1" s="1"/>
  <c r="AC154" i="1"/>
  <c r="AM154" i="1" s="1"/>
  <c r="AC155" i="1"/>
  <c r="AM155" i="1" s="1"/>
  <c r="AC156" i="1"/>
  <c r="AM156" i="1" s="1"/>
  <c r="AC157" i="1"/>
  <c r="AM157" i="1" s="1"/>
  <c r="AC158" i="1"/>
  <c r="AM158" i="1" s="1"/>
  <c r="AC159" i="1"/>
  <c r="AM159" i="1" s="1"/>
  <c r="AC160" i="1"/>
  <c r="AM160" i="1" s="1"/>
  <c r="AC161" i="1"/>
  <c r="AM161" i="1" s="1"/>
  <c r="AC162" i="1"/>
  <c r="AM162" i="1" s="1"/>
  <c r="AC163" i="1"/>
  <c r="AM163" i="1" s="1"/>
  <c r="AC164" i="1"/>
  <c r="AM164" i="1" s="1"/>
  <c r="AC165" i="1"/>
  <c r="AM165" i="1" s="1"/>
  <c r="AC166" i="1"/>
  <c r="AM166" i="1" s="1"/>
  <c r="AC167" i="1"/>
  <c r="AM167" i="1" s="1"/>
  <c r="AC168" i="1"/>
  <c r="AM168" i="1" s="1"/>
  <c r="AC169" i="1"/>
  <c r="AM169" i="1" s="1"/>
  <c r="AC170" i="1"/>
  <c r="AM170" i="1" s="1"/>
  <c r="AC171" i="1"/>
  <c r="AM171" i="1" s="1"/>
  <c r="AC172" i="1"/>
  <c r="AM172" i="1" s="1"/>
  <c r="AC173" i="1"/>
  <c r="AM173" i="1" s="1"/>
  <c r="AC174" i="1"/>
  <c r="AM174" i="1" s="1"/>
  <c r="AC175" i="1"/>
  <c r="AM175" i="1" s="1"/>
  <c r="AC176" i="1"/>
  <c r="AM176" i="1" s="1"/>
  <c r="AC177" i="1"/>
  <c r="AM177" i="1" s="1"/>
  <c r="AC178" i="1"/>
  <c r="AM178" i="1" s="1"/>
  <c r="AC179" i="1"/>
  <c r="AM179" i="1" s="1"/>
  <c r="AC180" i="1"/>
  <c r="AM180" i="1" s="1"/>
  <c r="AC181" i="1"/>
  <c r="AM181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A3" i="1"/>
  <c r="AA4" i="1"/>
  <c r="AA5" i="1"/>
  <c r="AL5" i="1" s="1"/>
  <c r="AA6" i="1"/>
  <c r="AA7" i="1"/>
  <c r="AA8" i="1"/>
  <c r="AA9" i="1"/>
  <c r="AA10" i="1"/>
  <c r="AL10" i="1" s="1"/>
  <c r="AA11" i="1"/>
  <c r="AA12" i="1"/>
  <c r="AA13" i="1"/>
  <c r="AL13" i="1" s="1"/>
  <c r="AA14" i="1"/>
  <c r="AA15" i="1"/>
  <c r="AA16" i="1"/>
  <c r="AA17" i="1"/>
  <c r="AA18" i="1"/>
  <c r="AL18" i="1" s="1"/>
  <c r="AA19" i="1"/>
  <c r="AA20" i="1"/>
  <c r="AA21" i="1"/>
  <c r="AL21" i="1" s="1"/>
  <c r="AA22" i="1"/>
  <c r="AA23" i="1"/>
  <c r="AA24" i="1"/>
  <c r="AA25" i="1"/>
  <c r="AA26" i="1"/>
  <c r="AL26" i="1" s="1"/>
  <c r="AA27" i="1"/>
  <c r="AA28" i="1"/>
  <c r="AA29" i="1"/>
  <c r="AL29" i="1" s="1"/>
  <c r="AA30" i="1"/>
  <c r="AA31" i="1"/>
  <c r="AA32" i="1"/>
  <c r="AA33" i="1"/>
  <c r="AA34" i="1"/>
  <c r="AL34" i="1" s="1"/>
  <c r="AA35" i="1"/>
  <c r="AA36" i="1"/>
  <c r="AA37" i="1"/>
  <c r="AL37" i="1" s="1"/>
  <c r="AA38" i="1"/>
  <c r="AA39" i="1"/>
  <c r="AA40" i="1"/>
  <c r="AA41" i="1"/>
  <c r="AA42" i="1"/>
  <c r="AL42" i="1" s="1"/>
  <c r="AA43" i="1"/>
  <c r="AA44" i="1"/>
  <c r="AA45" i="1"/>
  <c r="AL45" i="1" s="1"/>
  <c r="AA46" i="1"/>
  <c r="AA47" i="1"/>
  <c r="AA48" i="1"/>
  <c r="AA49" i="1"/>
  <c r="AA50" i="1"/>
  <c r="AL50" i="1" s="1"/>
  <c r="AA51" i="1"/>
  <c r="AA52" i="1"/>
  <c r="AA53" i="1"/>
  <c r="AL53" i="1" s="1"/>
  <c r="AA54" i="1"/>
  <c r="AA55" i="1"/>
  <c r="AA56" i="1"/>
  <c r="AA57" i="1"/>
  <c r="AA58" i="1"/>
  <c r="AL58" i="1" s="1"/>
  <c r="AA59" i="1"/>
  <c r="AA60" i="1"/>
  <c r="AA61" i="1"/>
  <c r="AL61" i="1" s="1"/>
  <c r="AA62" i="1"/>
  <c r="AA63" i="1"/>
  <c r="AA64" i="1"/>
  <c r="AA65" i="1"/>
  <c r="AA66" i="1"/>
  <c r="AL66" i="1" s="1"/>
  <c r="AA67" i="1"/>
  <c r="AA68" i="1"/>
  <c r="AA69" i="1"/>
  <c r="AL69" i="1" s="1"/>
  <c r="AA70" i="1"/>
  <c r="AA71" i="1"/>
  <c r="AA72" i="1"/>
  <c r="AA73" i="1"/>
  <c r="AA74" i="1"/>
  <c r="AL74" i="1" s="1"/>
  <c r="AA75" i="1"/>
  <c r="AA76" i="1"/>
  <c r="AA77" i="1"/>
  <c r="AL77" i="1" s="1"/>
  <c r="AA78" i="1"/>
  <c r="AA79" i="1"/>
  <c r="AA80" i="1"/>
  <c r="AA81" i="1"/>
  <c r="AA82" i="1"/>
  <c r="AL82" i="1" s="1"/>
  <c r="AA83" i="1"/>
  <c r="AA84" i="1"/>
  <c r="AA85" i="1"/>
  <c r="AL85" i="1" s="1"/>
  <c r="AA86" i="1"/>
  <c r="AA87" i="1"/>
  <c r="AA88" i="1"/>
  <c r="AA89" i="1"/>
  <c r="AA90" i="1"/>
  <c r="AL90" i="1" s="1"/>
  <c r="AA91" i="1"/>
  <c r="AA92" i="1"/>
  <c r="AL92" i="1" s="1"/>
  <c r="AA93" i="1"/>
  <c r="AL93" i="1" s="1"/>
  <c r="AA94" i="1"/>
  <c r="AA95" i="1"/>
  <c r="AA96" i="1"/>
  <c r="AA97" i="1"/>
  <c r="AA98" i="1"/>
  <c r="AL98" i="1" s="1"/>
  <c r="AA99" i="1"/>
  <c r="AA100" i="1"/>
  <c r="AL100" i="1" s="1"/>
  <c r="AA101" i="1"/>
  <c r="AL101" i="1" s="1"/>
  <c r="AA102" i="1"/>
  <c r="AA103" i="1"/>
  <c r="AA104" i="1"/>
  <c r="AA105" i="1"/>
  <c r="AA106" i="1"/>
  <c r="AL106" i="1" s="1"/>
  <c r="AA107" i="1"/>
  <c r="AA108" i="1"/>
  <c r="AL108" i="1" s="1"/>
  <c r="AA109" i="1"/>
  <c r="AL109" i="1" s="1"/>
  <c r="AA110" i="1"/>
  <c r="AA111" i="1"/>
  <c r="AA112" i="1"/>
  <c r="AA113" i="1"/>
  <c r="AA114" i="1"/>
  <c r="AL114" i="1" s="1"/>
  <c r="AA115" i="1"/>
  <c r="AA116" i="1"/>
  <c r="AL116" i="1" s="1"/>
  <c r="AA117" i="1"/>
  <c r="AL117" i="1" s="1"/>
  <c r="AA118" i="1"/>
  <c r="AA119" i="1"/>
  <c r="AA120" i="1"/>
  <c r="AA121" i="1"/>
  <c r="AA122" i="1"/>
  <c r="AL122" i="1" s="1"/>
  <c r="AA123" i="1"/>
  <c r="AA124" i="1"/>
  <c r="AL124" i="1" s="1"/>
  <c r="AA125" i="1"/>
  <c r="AL125" i="1" s="1"/>
  <c r="AA126" i="1"/>
  <c r="AA127" i="1"/>
  <c r="AA128" i="1"/>
  <c r="AA129" i="1"/>
  <c r="AA130" i="1"/>
  <c r="AL130" i="1" s="1"/>
  <c r="AA131" i="1"/>
  <c r="AA132" i="1"/>
  <c r="AL132" i="1" s="1"/>
  <c r="AA133" i="1"/>
  <c r="AL133" i="1" s="1"/>
  <c r="AA134" i="1"/>
  <c r="AA135" i="1"/>
  <c r="AA136" i="1"/>
  <c r="AA137" i="1"/>
  <c r="AA138" i="1"/>
  <c r="AL138" i="1" s="1"/>
  <c r="AA139" i="1"/>
  <c r="AA140" i="1"/>
  <c r="AL140" i="1" s="1"/>
  <c r="AA141" i="1"/>
  <c r="AL141" i="1" s="1"/>
  <c r="AA142" i="1"/>
  <c r="AA143" i="1"/>
  <c r="AA144" i="1"/>
  <c r="AA145" i="1"/>
  <c r="AA146" i="1"/>
  <c r="AL146" i="1" s="1"/>
  <c r="AA147" i="1"/>
  <c r="AA148" i="1"/>
  <c r="AL148" i="1" s="1"/>
  <c r="AA149" i="1"/>
  <c r="AL149" i="1" s="1"/>
  <c r="AA150" i="1"/>
  <c r="AA151" i="1"/>
  <c r="AA152" i="1"/>
  <c r="AA153" i="1"/>
  <c r="AA154" i="1"/>
  <c r="AL154" i="1" s="1"/>
  <c r="AA155" i="1"/>
  <c r="AA156" i="1"/>
  <c r="AL156" i="1" s="1"/>
  <c r="AA157" i="1"/>
  <c r="AL157" i="1" s="1"/>
  <c r="AA158" i="1"/>
  <c r="AA159" i="1"/>
  <c r="AA160" i="1"/>
  <c r="AA161" i="1"/>
  <c r="AA162" i="1"/>
  <c r="AL162" i="1" s="1"/>
  <c r="AA163" i="1"/>
  <c r="AA164" i="1"/>
  <c r="AL164" i="1" s="1"/>
  <c r="AA165" i="1"/>
  <c r="AL165" i="1" s="1"/>
  <c r="AA166" i="1"/>
  <c r="AA167" i="1"/>
  <c r="AA168" i="1"/>
  <c r="AA169" i="1"/>
  <c r="AA170" i="1"/>
  <c r="AL170" i="1" s="1"/>
  <c r="AA171" i="1"/>
  <c r="AA172" i="1"/>
  <c r="AL172" i="1" s="1"/>
  <c r="AA173" i="1"/>
  <c r="AL173" i="1" s="1"/>
  <c r="AA174" i="1"/>
  <c r="AA175" i="1"/>
  <c r="AA176" i="1"/>
  <c r="AA177" i="1"/>
  <c r="AA178" i="1"/>
  <c r="AL178" i="1" s="1"/>
  <c r="AA179" i="1"/>
  <c r="AA180" i="1"/>
  <c r="AL180" i="1" s="1"/>
  <c r="AA181" i="1"/>
  <c r="AL181" i="1" s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X3" i="1"/>
  <c r="X4" i="1"/>
  <c r="X5" i="1"/>
  <c r="AK5" i="1" s="1"/>
  <c r="X6" i="1"/>
  <c r="AK6" i="1" s="1"/>
  <c r="X7" i="1"/>
  <c r="X8" i="1"/>
  <c r="X9" i="1"/>
  <c r="X10" i="1"/>
  <c r="X11" i="1"/>
  <c r="X12" i="1"/>
  <c r="X13" i="1"/>
  <c r="AK13" i="1" s="1"/>
  <c r="X14" i="1"/>
  <c r="AK14" i="1" s="1"/>
  <c r="X15" i="1"/>
  <c r="X16" i="1"/>
  <c r="X17" i="1"/>
  <c r="X18" i="1"/>
  <c r="X19" i="1"/>
  <c r="X20" i="1"/>
  <c r="X21" i="1"/>
  <c r="AK21" i="1" s="1"/>
  <c r="X22" i="1"/>
  <c r="AK22" i="1" s="1"/>
  <c r="X23" i="1"/>
  <c r="X24" i="1"/>
  <c r="X25" i="1"/>
  <c r="X26" i="1"/>
  <c r="X27" i="1"/>
  <c r="X28" i="1"/>
  <c r="X29" i="1"/>
  <c r="AK29" i="1" s="1"/>
  <c r="X30" i="1"/>
  <c r="AK30" i="1" s="1"/>
  <c r="X31" i="1"/>
  <c r="X32" i="1"/>
  <c r="X33" i="1"/>
  <c r="X34" i="1"/>
  <c r="X35" i="1"/>
  <c r="X36" i="1"/>
  <c r="X37" i="1"/>
  <c r="AK37" i="1" s="1"/>
  <c r="X38" i="1"/>
  <c r="AK38" i="1" s="1"/>
  <c r="X39" i="1"/>
  <c r="X40" i="1"/>
  <c r="X41" i="1"/>
  <c r="X42" i="1"/>
  <c r="X43" i="1"/>
  <c r="X44" i="1"/>
  <c r="X45" i="1"/>
  <c r="AK45" i="1" s="1"/>
  <c r="X46" i="1"/>
  <c r="AK46" i="1" s="1"/>
  <c r="X47" i="1"/>
  <c r="X48" i="1"/>
  <c r="X49" i="1"/>
  <c r="X50" i="1"/>
  <c r="X51" i="1"/>
  <c r="X52" i="1"/>
  <c r="X53" i="1"/>
  <c r="AK53" i="1" s="1"/>
  <c r="X54" i="1"/>
  <c r="AK54" i="1" s="1"/>
  <c r="X55" i="1"/>
  <c r="X56" i="1"/>
  <c r="X57" i="1"/>
  <c r="X58" i="1"/>
  <c r="X59" i="1"/>
  <c r="X60" i="1"/>
  <c r="X61" i="1"/>
  <c r="AK61" i="1" s="1"/>
  <c r="X62" i="1"/>
  <c r="AK62" i="1" s="1"/>
  <c r="X63" i="1"/>
  <c r="X64" i="1"/>
  <c r="X65" i="1"/>
  <c r="X66" i="1"/>
  <c r="X67" i="1"/>
  <c r="X68" i="1"/>
  <c r="X69" i="1"/>
  <c r="AK69" i="1" s="1"/>
  <c r="X70" i="1"/>
  <c r="AK70" i="1" s="1"/>
  <c r="X71" i="1"/>
  <c r="X72" i="1"/>
  <c r="X73" i="1"/>
  <c r="X74" i="1"/>
  <c r="X75" i="1"/>
  <c r="X76" i="1"/>
  <c r="X77" i="1"/>
  <c r="AK77" i="1" s="1"/>
  <c r="X78" i="1"/>
  <c r="AK78" i="1" s="1"/>
  <c r="X79" i="1"/>
  <c r="X80" i="1"/>
  <c r="X81" i="1"/>
  <c r="X82" i="1"/>
  <c r="X83" i="1"/>
  <c r="X84" i="1"/>
  <c r="X85" i="1"/>
  <c r="AK85" i="1" s="1"/>
  <c r="X86" i="1"/>
  <c r="AK86" i="1" s="1"/>
  <c r="X87" i="1"/>
  <c r="X88" i="1"/>
  <c r="X89" i="1"/>
  <c r="X90" i="1"/>
  <c r="X91" i="1"/>
  <c r="X92" i="1"/>
  <c r="X93" i="1"/>
  <c r="AK93" i="1" s="1"/>
  <c r="X94" i="1"/>
  <c r="AK94" i="1" s="1"/>
  <c r="X95" i="1"/>
  <c r="X96" i="1"/>
  <c r="X97" i="1"/>
  <c r="X98" i="1"/>
  <c r="X99" i="1"/>
  <c r="X100" i="1"/>
  <c r="X101" i="1"/>
  <c r="AK101" i="1" s="1"/>
  <c r="X102" i="1"/>
  <c r="AK102" i="1" s="1"/>
  <c r="X103" i="1"/>
  <c r="X104" i="1"/>
  <c r="X105" i="1"/>
  <c r="X106" i="1"/>
  <c r="X107" i="1"/>
  <c r="X108" i="1"/>
  <c r="X109" i="1"/>
  <c r="AK109" i="1" s="1"/>
  <c r="X110" i="1"/>
  <c r="AK110" i="1" s="1"/>
  <c r="X111" i="1"/>
  <c r="X112" i="1"/>
  <c r="X113" i="1"/>
  <c r="X114" i="1"/>
  <c r="X115" i="1"/>
  <c r="X116" i="1"/>
  <c r="X117" i="1"/>
  <c r="AK117" i="1" s="1"/>
  <c r="X118" i="1"/>
  <c r="AK118" i="1" s="1"/>
  <c r="X119" i="1"/>
  <c r="X120" i="1"/>
  <c r="X121" i="1"/>
  <c r="X122" i="1"/>
  <c r="X123" i="1"/>
  <c r="X124" i="1"/>
  <c r="X125" i="1"/>
  <c r="AK125" i="1" s="1"/>
  <c r="X126" i="1"/>
  <c r="AK126" i="1" s="1"/>
  <c r="X127" i="1"/>
  <c r="X128" i="1"/>
  <c r="X129" i="1"/>
  <c r="X130" i="1"/>
  <c r="X131" i="1"/>
  <c r="X132" i="1"/>
  <c r="X133" i="1"/>
  <c r="AK133" i="1" s="1"/>
  <c r="X134" i="1"/>
  <c r="AK134" i="1" s="1"/>
  <c r="X135" i="1"/>
  <c r="X136" i="1"/>
  <c r="X137" i="1"/>
  <c r="X138" i="1"/>
  <c r="X139" i="1"/>
  <c r="X140" i="1"/>
  <c r="X141" i="1"/>
  <c r="AK141" i="1" s="1"/>
  <c r="X142" i="1"/>
  <c r="AK142" i="1" s="1"/>
  <c r="X143" i="1"/>
  <c r="X144" i="1"/>
  <c r="X145" i="1"/>
  <c r="X146" i="1"/>
  <c r="X147" i="1"/>
  <c r="X148" i="1"/>
  <c r="X149" i="1"/>
  <c r="AK149" i="1" s="1"/>
  <c r="X150" i="1"/>
  <c r="AK150" i="1" s="1"/>
  <c r="X151" i="1"/>
  <c r="X152" i="1"/>
  <c r="X153" i="1"/>
  <c r="X154" i="1"/>
  <c r="X155" i="1"/>
  <c r="X156" i="1"/>
  <c r="X157" i="1"/>
  <c r="AK157" i="1" s="1"/>
  <c r="X158" i="1"/>
  <c r="AK158" i="1" s="1"/>
  <c r="X159" i="1"/>
  <c r="X160" i="1"/>
  <c r="X161" i="1"/>
  <c r="X162" i="1"/>
  <c r="X163" i="1"/>
  <c r="X164" i="1"/>
  <c r="X165" i="1"/>
  <c r="AK165" i="1" s="1"/>
  <c r="X166" i="1"/>
  <c r="AK166" i="1" s="1"/>
  <c r="X167" i="1"/>
  <c r="X168" i="1"/>
  <c r="X169" i="1"/>
  <c r="X170" i="1"/>
  <c r="X171" i="1"/>
  <c r="X172" i="1"/>
  <c r="X173" i="1"/>
  <c r="AK173" i="1" s="1"/>
  <c r="X174" i="1"/>
  <c r="AK174" i="1" s="1"/>
  <c r="X175" i="1"/>
  <c r="X176" i="1"/>
  <c r="X177" i="1"/>
  <c r="X178" i="1"/>
  <c r="X179" i="1"/>
  <c r="X180" i="1"/>
  <c r="X181" i="1"/>
  <c r="AK181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V3" i="1"/>
  <c r="V4" i="1"/>
  <c r="V5" i="1"/>
  <c r="AJ5" i="1" s="1"/>
  <c r="V6" i="1"/>
  <c r="V7" i="1"/>
  <c r="AJ7" i="1" s="1"/>
  <c r="V8" i="1"/>
  <c r="AJ8" i="1" s="1"/>
  <c r="V9" i="1"/>
  <c r="V10" i="1"/>
  <c r="V11" i="1"/>
  <c r="V12" i="1"/>
  <c r="V13" i="1"/>
  <c r="AJ13" i="1" s="1"/>
  <c r="V14" i="1"/>
  <c r="V15" i="1"/>
  <c r="AJ15" i="1" s="1"/>
  <c r="V16" i="1"/>
  <c r="AJ16" i="1" s="1"/>
  <c r="V17" i="1"/>
  <c r="V18" i="1"/>
  <c r="V19" i="1"/>
  <c r="V20" i="1"/>
  <c r="V21" i="1"/>
  <c r="AJ21" i="1" s="1"/>
  <c r="V22" i="1"/>
  <c r="V23" i="1"/>
  <c r="AJ23" i="1" s="1"/>
  <c r="V24" i="1"/>
  <c r="AJ24" i="1" s="1"/>
  <c r="V25" i="1"/>
  <c r="V26" i="1"/>
  <c r="V27" i="1"/>
  <c r="V28" i="1"/>
  <c r="V29" i="1"/>
  <c r="AJ29" i="1" s="1"/>
  <c r="V30" i="1"/>
  <c r="V31" i="1"/>
  <c r="AJ31" i="1" s="1"/>
  <c r="V32" i="1"/>
  <c r="AJ32" i="1" s="1"/>
  <c r="V33" i="1"/>
  <c r="V34" i="1"/>
  <c r="V35" i="1"/>
  <c r="V36" i="1"/>
  <c r="V37" i="1"/>
  <c r="AJ37" i="1" s="1"/>
  <c r="V38" i="1"/>
  <c r="V39" i="1"/>
  <c r="AJ39" i="1" s="1"/>
  <c r="V40" i="1"/>
  <c r="AJ40" i="1" s="1"/>
  <c r="V41" i="1"/>
  <c r="V42" i="1"/>
  <c r="V43" i="1"/>
  <c r="V44" i="1"/>
  <c r="V45" i="1"/>
  <c r="AJ45" i="1" s="1"/>
  <c r="V46" i="1"/>
  <c r="V47" i="1"/>
  <c r="AJ47" i="1" s="1"/>
  <c r="V48" i="1"/>
  <c r="AJ48" i="1" s="1"/>
  <c r="V49" i="1"/>
  <c r="V50" i="1"/>
  <c r="V51" i="1"/>
  <c r="V52" i="1"/>
  <c r="V53" i="1"/>
  <c r="AJ53" i="1" s="1"/>
  <c r="V54" i="1"/>
  <c r="V55" i="1"/>
  <c r="AJ55" i="1" s="1"/>
  <c r="V56" i="1"/>
  <c r="AJ56" i="1" s="1"/>
  <c r="V57" i="1"/>
  <c r="V58" i="1"/>
  <c r="V59" i="1"/>
  <c r="V60" i="1"/>
  <c r="V61" i="1"/>
  <c r="AJ61" i="1" s="1"/>
  <c r="V62" i="1"/>
  <c r="V63" i="1"/>
  <c r="AJ63" i="1" s="1"/>
  <c r="V64" i="1"/>
  <c r="AJ64" i="1" s="1"/>
  <c r="V65" i="1"/>
  <c r="V66" i="1"/>
  <c r="V67" i="1"/>
  <c r="V68" i="1"/>
  <c r="V69" i="1"/>
  <c r="AJ69" i="1" s="1"/>
  <c r="V70" i="1"/>
  <c r="V71" i="1"/>
  <c r="AJ71" i="1" s="1"/>
  <c r="V72" i="1"/>
  <c r="AJ72" i="1" s="1"/>
  <c r="V73" i="1"/>
  <c r="V74" i="1"/>
  <c r="V75" i="1"/>
  <c r="V76" i="1"/>
  <c r="V77" i="1"/>
  <c r="AJ77" i="1" s="1"/>
  <c r="V78" i="1"/>
  <c r="V79" i="1"/>
  <c r="AJ79" i="1" s="1"/>
  <c r="V80" i="1"/>
  <c r="AJ80" i="1" s="1"/>
  <c r="V81" i="1"/>
  <c r="V82" i="1"/>
  <c r="V83" i="1"/>
  <c r="V84" i="1"/>
  <c r="V85" i="1"/>
  <c r="AJ85" i="1" s="1"/>
  <c r="V86" i="1"/>
  <c r="V87" i="1"/>
  <c r="AJ87" i="1" s="1"/>
  <c r="V88" i="1"/>
  <c r="AJ88" i="1" s="1"/>
  <c r="V89" i="1"/>
  <c r="V90" i="1"/>
  <c r="V91" i="1"/>
  <c r="V92" i="1"/>
  <c r="V93" i="1"/>
  <c r="AJ93" i="1" s="1"/>
  <c r="V94" i="1"/>
  <c r="V95" i="1"/>
  <c r="AJ95" i="1" s="1"/>
  <c r="V96" i="1"/>
  <c r="AJ96" i="1" s="1"/>
  <c r="V97" i="1"/>
  <c r="V98" i="1"/>
  <c r="V99" i="1"/>
  <c r="V100" i="1"/>
  <c r="V101" i="1"/>
  <c r="AJ101" i="1" s="1"/>
  <c r="V102" i="1"/>
  <c r="V103" i="1"/>
  <c r="AJ103" i="1" s="1"/>
  <c r="V104" i="1"/>
  <c r="AJ104" i="1" s="1"/>
  <c r="V105" i="1"/>
  <c r="V106" i="1"/>
  <c r="V107" i="1"/>
  <c r="V108" i="1"/>
  <c r="V109" i="1"/>
  <c r="AJ109" i="1" s="1"/>
  <c r="V110" i="1"/>
  <c r="V111" i="1"/>
  <c r="AJ111" i="1" s="1"/>
  <c r="V112" i="1"/>
  <c r="AJ112" i="1" s="1"/>
  <c r="V113" i="1"/>
  <c r="V114" i="1"/>
  <c r="V115" i="1"/>
  <c r="V116" i="1"/>
  <c r="V117" i="1"/>
  <c r="AJ117" i="1" s="1"/>
  <c r="V118" i="1"/>
  <c r="V119" i="1"/>
  <c r="AJ119" i="1" s="1"/>
  <c r="V120" i="1"/>
  <c r="AJ120" i="1" s="1"/>
  <c r="V121" i="1"/>
  <c r="V122" i="1"/>
  <c r="V123" i="1"/>
  <c r="V124" i="1"/>
  <c r="V125" i="1"/>
  <c r="AJ125" i="1" s="1"/>
  <c r="V126" i="1"/>
  <c r="V127" i="1"/>
  <c r="AJ127" i="1" s="1"/>
  <c r="V128" i="1"/>
  <c r="AJ128" i="1" s="1"/>
  <c r="V129" i="1"/>
  <c r="V130" i="1"/>
  <c r="V131" i="1"/>
  <c r="V132" i="1"/>
  <c r="V133" i="1"/>
  <c r="AJ133" i="1" s="1"/>
  <c r="V134" i="1"/>
  <c r="V135" i="1"/>
  <c r="AJ135" i="1" s="1"/>
  <c r="V136" i="1"/>
  <c r="AJ136" i="1" s="1"/>
  <c r="V137" i="1"/>
  <c r="V138" i="1"/>
  <c r="V139" i="1"/>
  <c r="V140" i="1"/>
  <c r="V141" i="1"/>
  <c r="AJ141" i="1" s="1"/>
  <c r="V142" i="1"/>
  <c r="V143" i="1"/>
  <c r="AJ143" i="1" s="1"/>
  <c r="V144" i="1"/>
  <c r="AJ144" i="1" s="1"/>
  <c r="V145" i="1"/>
  <c r="V146" i="1"/>
  <c r="V147" i="1"/>
  <c r="V148" i="1"/>
  <c r="V149" i="1"/>
  <c r="AJ149" i="1" s="1"/>
  <c r="V150" i="1"/>
  <c r="V151" i="1"/>
  <c r="AJ151" i="1" s="1"/>
  <c r="V152" i="1"/>
  <c r="AJ152" i="1" s="1"/>
  <c r="V153" i="1"/>
  <c r="V154" i="1"/>
  <c r="V155" i="1"/>
  <c r="V156" i="1"/>
  <c r="V157" i="1"/>
  <c r="AJ157" i="1" s="1"/>
  <c r="V158" i="1"/>
  <c r="V159" i="1"/>
  <c r="AJ159" i="1" s="1"/>
  <c r="V160" i="1"/>
  <c r="AJ160" i="1" s="1"/>
  <c r="V161" i="1"/>
  <c r="V162" i="1"/>
  <c r="V163" i="1"/>
  <c r="V164" i="1"/>
  <c r="V165" i="1"/>
  <c r="AJ165" i="1" s="1"/>
  <c r="V166" i="1"/>
  <c r="V167" i="1"/>
  <c r="AJ167" i="1" s="1"/>
  <c r="V168" i="1"/>
  <c r="AJ168" i="1" s="1"/>
  <c r="V169" i="1"/>
  <c r="V170" i="1"/>
  <c r="V171" i="1"/>
  <c r="V172" i="1"/>
  <c r="V173" i="1"/>
  <c r="AJ173" i="1" s="1"/>
  <c r="V174" i="1"/>
  <c r="V175" i="1"/>
  <c r="AJ175" i="1" s="1"/>
  <c r="V176" i="1"/>
  <c r="AJ176" i="1" s="1"/>
  <c r="V177" i="1"/>
  <c r="V178" i="1"/>
  <c r="V179" i="1"/>
  <c r="V180" i="1"/>
  <c r="V181" i="1"/>
  <c r="AJ181" i="1" s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AO169" i="1" l="1"/>
  <c r="AO145" i="1"/>
  <c r="AO121" i="1"/>
  <c r="AO97" i="1"/>
  <c r="AO57" i="1"/>
  <c r="AO9" i="1"/>
  <c r="AO177" i="1"/>
  <c r="AO161" i="1"/>
  <c r="AO137" i="1"/>
  <c r="AO113" i="1"/>
  <c r="AO89" i="1"/>
  <c r="AO73" i="1"/>
  <c r="AO41" i="1"/>
  <c r="AO17" i="1"/>
  <c r="AO153" i="1"/>
  <c r="AO129" i="1"/>
  <c r="AO105" i="1"/>
  <c r="AO81" i="1"/>
  <c r="AO65" i="1"/>
  <c r="AO49" i="1"/>
  <c r="AO33" i="1"/>
  <c r="AO25" i="1"/>
  <c r="AJ177" i="1"/>
  <c r="AJ169" i="1"/>
  <c r="AJ161" i="1"/>
  <c r="AJ153" i="1"/>
  <c r="AJ145" i="1"/>
  <c r="AJ137" i="1"/>
  <c r="AJ129" i="1"/>
  <c r="AJ121" i="1"/>
  <c r="AJ113" i="1"/>
  <c r="AJ105" i="1"/>
  <c r="AJ97" i="1"/>
  <c r="AJ89" i="1"/>
  <c r="AJ81" i="1"/>
  <c r="AJ73" i="1"/>
  <c r="AJ65" i="1"/>
  <c r="AJ57" i="1"/>
  <c r="AJ49" i="1"/>
  <c r="AJ41" i="1"/>
  <c r="AJ33" i="1"/>
  <c r="AJ25" i="1"/>
  <c r="AJ17" i="1"/>
  <c r="AJ9" i="1"/>
  <c r="AK175" i="1"/>
  <c r="AK167" i="1"/>
  <c r="AK159" i="1"/>
  <c r="AK151" i="1"/>
  <c r="AK143" i="1"/>
  <c r="AK135" i="1"/>
  <c r="AK127" i="1"/>
  <c r="AK119" i="1"/>
  <c r="AK111" i="1"/>
  <c r="AK103" i="1"/>
  <c r="AK95" i="1"/>
  <c r="AK87" i="1"/>
  <c r="AK79" i="1"/>
  <c r="AK71" i="1"/>
  <c r="AK63" i="1"/>
  <c r="AK55" i="1"/>
  <c r="AK47" i="1"/>
  <c r="AK39" i="1"/>
  <c r="AK31" i="1"/>
  <c r="AK23" i="1"/>
  <c r="AK15" i="1"/>
  <c r="AK7" i="1"/>
  <c r="AL174" i="1"/>
  <c r="AL166" i="1"/>
  <c r="AL158" i="1"/>
  <c r="AL150" i="1"/>
  <c r="AL142" i="1"/>
  <c r="AL134" i="1"/>
  <c r="AL126" i="1"/>
  <c r="AL118" i="1"/>
  <c r="AL110" i="1"/>
  <c r="AL102" i="1"/>
  <c r="AL94" i="1"/>
  <c r="AL86" i="1"/>
  <c r="AL78" i="1"/>
  <c r="AL70" i="1"/>
  <c r="AL62" i="1"/>
  <c r="AL54" i="1"/>
  <c r="AL46" i="1"/>
  <c r="AL38" i="1"/>
  <c r="AL30" i="1"/>
  <c r="AL22" i="1"/>
  <c r="AL14" i="1"/>
  <c r="AL6" i="1"/>
  <c r="AN175" i="1"/>
  <c r="AN167" i="1"/>
  <c r="AN159" i="1"/>
  <c r="AN151" i="1"/>
  <c r="AN143" i="1"/>
  <c r="AN135" i="1"/>
  <c r="AN127" i="1"/>
  <c r="AN119" i="1"/>
  <c r="AN111" i="1"/>
  <c r="AN103" i="1"/>
  <c r="AN95" i="1"/>
  <c r="AN87" i="1"/>
  <c r="AN79" i="1"/>
  <c r="AN71" i="1"/>
  <c r="AN63" i="1"/>
  <c r="AN55" i="1"/>
  <c r="AN47" i="1"/>
  <c r="AN39" i="1"/>
  <c r="AN31" i="1"/>
  <c r="AN23" i="1"/>
  <c r="AN15" i="1"/>
  <c r="AN7" i="1"/>
  <c r="AO173" i="1"/>
  <c r="AO165" i="1"/>
  <c r="AO157" i="1"/>
  <c r="AO149" i="1"/>
  <c r="AO141" i="1"/>
  <c r="AO133" i="1"/>
  <c r="AO125" i="1"/>
  <c r="AO117" i="1"/>
  <c r="AO109" i="1"/>
  <c r="AO101" i="1"/>
  <c r="AO93" i="1"/>
  <c r="AO85" i="1"/>
  <c r="AO77" i="1"/>
  <c r="AO69" i="1"/>
  <c r="AO61" i="1"/>
  <c r="AO53" i="1"/>
  <c r="AO45" i="1"/>
  <c r="AO37" i="1"/>
  <c r="AO29" i="1"/>
  <c r="AO21" i="1"/>
  <c r="AO13" i="1"/>
  <c r="AO5" i="1"/>
  <c r="AO181" i="1"/>
  <c r="AK179" i="1"/>
  <c r="AK163" i="1"/>
  <c r="AK147" i="1"/>
  <c r="AK131" i="1"/>
  <c r="AK115" i="1"/>
  <c r="AK99" i="1"/>
  <c r="AK83" i="1"/>
  <c r="AK67" i="1"/>
  <c r="AK51" i="1"/>
  <c r="AK35" i="1"/>
  <c r="AK19" i="1"/>
  <c r="AJ180" i="1"/>
  <c r="AJ164" i="1"/>
  <c r="AJ148" i="1"/>
  <c r="AJ132" i="1"/>
  <c r="AJ116" i="1"/>
  <c r="AJ100" i="1"/>
  <c r="AJ84" i="1"/>
  <c r="AJ68" i="1"/>
  <c r="AJ52" i="1"/>
  <c r="AJ44" i="1"/>
  <c r="AJ28" i="1"/>
  <c r="AJ12" i="1"/>
  <c r="AK178" i="1"/>
  <c r="AK162" i="1"/>
  <c r="AK146" i="1"/>
  <c r="AK130" i="1"/>
  <c r="AK114" i="1"/>
  <c r="AK98" i="1"/>
  <c r="AK74" i="1"/>
  <c r="AK58" i="1"/>
  <c r="AK42" i="1"/>
  <c r="AK26" i="1"/>
  <c r="AK10" i="1"/>
  <c r="AL177" i="1"/>
  <c r="AL161" i="1"/>
  <c r="AL145" i="1"/>
  <c r="AL129" i="1"/>
  <c r="AL113" i="1"/>
  <c r="AL97" i="1"/>
  <c r="AL81" i="1"/>
  <c r="AL65" i="1"/>
  <c r="AL49" i="1"/>
  <c r="AL33" i="1"/>
  <c r="AL17" i="1"/>
  <c r="AN170" i="1"/>
  <c r="AN154" i="1"/>
  <c r="AN146" i="1"/>
  <c r="AN130" i="1"/>
  <c r="AN114" i="1"/>
  <c r="AN98" i="1"/>
  <c r="AN82" i="1"/>
  <c r="AN66" i="1"/>
  <c r="AN50" i="1"/>
  <c r="AN42" i="1"/>
  <c r="AN34" i="1"/>
  <c r="AN18" i="1"/>
  <c r="AN10" i="1"/>
  <c r="AO168" i="1"/>
  <c r="AO152" i="1"/>
  <c r="AO136" i="1"/>
  <c r="AO120" i="1"/>
  <c r="AO104" i="1"/>
  <c r="AO88" i="1"/>
  <c r="AO72" i="1"/>
  <c r="AO56" i="1"/>
  <c r="AO40" i="1"/>
  <c r="AO24" i="1"/>
  <c r="AO8" i="1"/>
  <c r="AJ179" i="1"/>
  <c r="AJ163" i="1"/>
  <c r="AJ147" i="1"/>
  <c r="AJ131" i="1"/>
  <c r="AJ115" i="1"/>
  <c r="AJ99" i="1"/>
  <c r="AJ83" i="1"/>
  <c r="AJ67" i="1"/>
  <c r="AJ43" i="1"/>
  <c r="AJ27" i="1"/>
  <c r="AL104" i="1"/>
  <c r="AK171" i="1"/>
  <c r="AK155" i="1"/>
  <c r="AK139" i="1"/>
  <c r="AK123" i="1"/>
  <c r="AK107" i="1"/>
  <c r="AK91" i="1"/>
  <c r="AK75" i="1"/>
  <c r="AK59" i="1"/>
  <c r="AK43" i="1"/>
  <c r="AK27" i="1"/>
  <c r="AK11" i="1"/>
  <c r="AJ172" i="1"/>
  <c r="AJ156" i="1"/>
  <c r="AJ140" i="1"/>
  <c r="AJ124" i="1"/>
  <c r="AJ108" i="1"/>
  <c r="AJ92" i="1"/>
  <c r="AJ76" i="1"/>
  <c r="AJ60" i="1"/>
  <c r="AJ36" i="1"/>
  <c r="AJ20" i="1"/>
  <c r="AJ4" i="1"/>
  <c r="AK170" i="1"/>
  <c r="AK154" i="1"/>
  <c r="AK138" i="1"/>
  <c r="AK122" i="1"/>
  <c r="AK106" i="1"/>
  <c r="AK90" i="1"/>
  <c r="AK82" i="1"/>
  <c r="AK66" i="1"/>
  <c r="AK50" i="1"/>
  <c r="AK34" i="1"/>
  <c r="AK18" i="1"/>
  <c r="AL169" i="1"/>
  <c r="AL153" i="1"/>
  <c r="AL137" i="1"/>
  <c r="AL121" i="1"/>
  <c r="AL105" i="1"/>
  <c r="AL89" i="1"/>
  <c r="AL73" i="1"/>
  <c r="AL57" i="1"/>
  <c r="AL41" i="1"/>
  <c r="AL25" i="1"/>
  <c r="AL9" i="1"/>
  <c r="AN178" i="1"/>
  <c r="AN162" i="1"/>
  <c r="AN138" i="1"/>
  <c r="AN122" i="1"/>
  <c r="AN106" i="1"/>
  <c r="AN90" i="1"/>
  <c r="AN74" i="1"/>
  <c r="AN58" i="1"/>
  <c r="AN26" i="1"/>
  <c r="AO176" i="1"/>
  <c r="AO160" i="1"/>
  <c r="AO144" i="1"/>
  <c r="AO128" i="1"/>
  <c r="AO112" i="1"/>
  <c r="AO96" i="1"/>
  <c r="AO80" i="1"/>
  <c r="AO64" i="1"/>
  <c r="AO48" i="1"/>
  <c r="AO32" i="1"/>
  <c r="AO16" i="1"/>
  <c r="AJ171" i="1"/>
  <c r="AJ155" i="1"/>
  <c r="AJ139" i="1"/>
  <c r="AJ123" i="1"/>
  <c r="AJ107" i="1"/>
  <c r="AJ91" i="1"/>
  <c r="AJ75" i="1"/>
  <c r="AJ59" i="1"/>
  <c r="AJ51" i="1"/>
  <c r="AJ35" i="1"/>
  <c r="AJ19" i="1"/>
  <c r="AJ11" i="1"/>
  <c r="AJ3" i="1"/>
  <c r="AK177" i="1"/>
  <c r="AK169" i="1"/>
  <c r="AK161" i="1"/>
  <c r="AK153" i="1"/>
  <c r="AK145" i="1"/>
  <c r="AK137" i="1"/>
  <c r="AK129" i="1"/>
  <c r="AK121" i="1"/>
  <c r="AK113" i="1"/>
  <c r="AK105" i="1"/>
  <c r="AK97" i="1"/>
  <c r="AK89" i="1"/>
  <c r="AK81" i="1"/>
  <c r="AK73" i="1"/>
  <c r="AK65" i="1"/>
  <c r="AK57" i="1"/>
  <c r="AK49" i="1"/>
  <c r="AK41" i="1"/>
  <c r="AK33" i="1"/>
  <c r="AK25" i="1"/>
  <c r="AK17" i="1"/>
  <c r="AK9" i="1"/>
  <c r="AL176" i="1"/>
  <c r="AL168" i="1"/>
  <c r="AL160" i="1"/>
  <c r="AL152" i="1"/>
  <c r="AL144" i="1"/>
  <c r="AL136" i="1"/>
  <c r="AL128" i="1"/>
  <c r="AL120" i="1"/>
  <c r="AL112" i="1"/>
  <c r="AL96" i="1"/>
  <c r="AL84" i="1"/>
  <c r="AL76" i="1"/>
  <c r="AL68" i="1"/>
  <c r="AL60" i="1"/>
  <c r="AL52" i="1"/>
  <c r="AL44" i="1"/>
  <c r="AL36" i="1"/>
  <c r="AL28" i="1"/>
  <c r="AL20" i="1"/>
  <c r="AL12" i="1"/>
  <c r="AL4" i="1"/>
  <c r="AN181" i="1"/>
  <c r="AN173" i="1"/>
  <c r="AN165" i="1"/>
  <c r="AN157" i="1"/>
  <c r="AN149" i="1"/>
  <c r="AN141" i="1"/>
  <c r="AN133" i="1"/>
  <c r="AN125" i="1"/>
  <c r="AN117" i="1"/>
  <c r="AN109" i="1"/>
  <c r="AN101" i="1"/>
  <c r="AN93" i="1"/>
  <c r="AN85" i="1"/>
  <c r="AN77" i="1"/>
  <c r="AN69" i="1"/>
  <c r="AN61" i="1"/>
  <c r="AN53" i="1"/>
  <c r="AN45" i="1"/>
  <c r="AN37" i="1"/>
  <c r="AN29" i="1"/>
  <c r="AN21" i="1"/>
  <c r="AN13" i="1"/>
  <c r="AN5" i="1"/>
  <c r="AO179" i="1"/>
  <c r="AO171" i="1"/>
  <c r="AO163" i="1"/>
  <c r="AO155" i="1"/>
  <c r="AO147" i="1"/>
  <c r="AO139" i="1"/>
  <c r="AO131" i="1"/>
  <c r="AO123" i="1"/>
  <c r="AO115" i="1"/>
  <c r="AO107" i="1"/>
  <c r="AO99" i="1"/>
  <c r="AO91" i="1"/>
  <c r="AO83" i="1"/>
  <c r="AO75" i="1"/>
  <c r="AO67" i="1"/>
  <c r="AO59" i="1"/>
  <c r="AO51" i="1"/>
  <c r="AO43" i="1"/>
  <c r="AO35" i="1"/>
  <c r="AO27" i="1"/>
  <c r="AO19" i="1"/>
  <c r="AO11" i="1"/>
  <c r="AO3" i="1"/>
  <c r="AJ174" i="1"/>
  <c r="AJ166" i="1"/>
  <c r="AJ158" i="1"/>
  <c r="AJ150" i="1"/>
  <c r="AJ142" i="1"/>
  <c r="AJ134" i="1"/>
  <c r="AJ126" i="1"/>
  <c r="AJ118" i="1"/>
  <c r="AJ110" i="1"/>
  <c r="AJ102" i="1"/>
  <c r="AJ94" i="1"/>
  <c r="AJ86" i="1"/>
  <c r="AJ78" i="1"/>
  <c r="AJ70" i="1"/>
  <c r="AJ62" i="1"/>
  <c r="AJ54" i="1"/>
  <c r="AJ46" i="1"/>
  <c r="AJ38" i="1"/>
  <c r="AJ30" i="1"/>
  <c r="AJ22" i="1"/>
  <c r="AJ14" i="1"/>
  <c r="AJ6" i="1"/>
  <c r="AK180" i="1"/>
  <c r="AK172" i="1"/>
  <c r="AK164" i="1"/>
  <c r="AK156" i="1"/>
  <c r="AK148" i="1"/>
  <c r="AK140" i="1"/>
  <c r="AK132" i="1"/>
  <c r="AK124" i="1"/>
  <c r="AK116" i="1"/>
  <c r="AK108" i="1"/>
  <c r="AK100" i="1"/>
  <c r="AK92" i="1"/>
  <c r="AK84" i="1"/>
  <c r="AK76" i="1"/>
  <c r="AK68" i="1"/>
  <c r="AK60" i="1"/>
  <c r="AK52" i="1"/>
  <c r="AK44" i="1"/>
  <c r="AK36" i="1"/>
  <c r="AK28" i="1"/>
  <c r="AK20" i="1"/>
  <c r="AK12" i="1"/>
  <c r="AK4" i="1"/>
  <c r="AL179" i="1"/>
  <c r="AL171" i="1"/>
  <c r="AL163" i="1"/>
  <c r="AL155" i="1"/>
  <c r="AL147" i="1"/>
  <c r="AL139" i="1"/>
  <c r="AL131" i="1"/>
  <c r="AL123" i="1"/>
  <c r="AL115" i="1"/>
  <c r="AL107" i="1"/>
  <c r="AL99" i="1"/>
  <c r="AL91" i="1"/>
  <c r="AL83" i="1"/>
  <c r="AL75" i="1"/>
  <c r="AL67" i="1"/>
  <c r="AL59" i="1"/>
  <c r="AL51" i="1"/>
  <c r="AL43" i="1"/>
  <c r="AL35" i="1"/>
  <c r="AL27" i="1"/>
  <c r="AL19" i="1"/>
  <c r="AL11" i="1"/>
  <c r="AL3" i="1"/>
  <c r="AN180" i="1"/>
  <c r="AN172" i="1"/>
  <c r="AN164" i="1"/>
  <c r="AN156" i="1"/>
  <c r="AN148" i="1"/>
  <c r="AN140" i="1"/>
  <c r="AN132" i="1"/>
  <c r="AN124" i="1"/>
  <c r="AN116" i="1"/>
  <c r="AN108" i="1"/>
  <c r="AN100" i="1"/>
  <c r="AN92" i="1"/>
  <c r="AN84" i="1"/>
  <c r="AN76" i="1"/>
  <c r="AN68" i="1"/>
  <c r="AN60" i="1"/>
  <c r="AN52" i="1"/>
  <c r="AN44" i="1"/>
  <c r="AN36" i="1"/>
  <c r="AN28" i="1"/>
  <c r="AN20" i="1"/>
  <c r="AN12" i="1"/>
  <c r="AN4" i="1"/>
  <c r="AO178" i="1"/>
  <c r="AO170" i="1"/>
  <c r="AO162" i="1"/>
  <c r="AO154" i="1"/>
  <c r="AO146" i="1"/>
  <c r="AO138" i="1"/>
  <c r="AO130" i="1"/>
  <c r="AO122" i="1"/>
  <c r="AO114" i="1"/>
  <c r="AO106" i="1"/>
  <c r="AO98" i="1"/>
  <c r="AO90" i="1"/>
  <c r="AO82" i="1"/>
  <c r="AO74" i="1"/>
  <c r="AO66" i="1"/>
  <c r="AO58" i="1"/>
  <c r="AO50" i="1"/>
  <c r="AO42" i="1"/>
  <c r="AO34" i="1"/>
  <c r="AO26" i="1"/>
  <c r="AO18" i="1"/>
  <c r="AO10" i="1"/>
  <c r="AL88" i="1"/>
  <c r="AL80" i="1"/>
  <c r="AL72" i="1"/>
  <c r="AL64" i="1"/>
  <c r="AL56" i="1"/>
  <c r="AL48" i="1"/>
  <c r="AL40" i="1"/>
  <c r="AL32" i="1"/>
  <c r="AL24" i="1"/>
  <c r="AL16" i="1"/>
  <c r="AL8" i="1"/>
  <c r="AN177" i="1"/>
  <c r="AN169" i="1"/>
  <c r="AN161" i="1"/>
  <c r="AN153" i="1"/>
  <c r="AN145" i="1"/>
  <c r="AN137" i="1"/>
  <c r="AN129" i="1"/>
  <c r="AN121" i="1"/>
  <c r="AN113" i="1"/>
  <c r="AN105" i="1"/>
  <c r="AN97" i="1"/>
  <c r="AN89" i="1"/>
  <c r="AN81" i="1"/>
  <c r="AN73" i="1"/>
  <c r="AN65" i="1"/>
  <c r="AN57" i="1"/>
  <c r="AN49" i="1"/>
  <c r="AN41" i="1"/>
  <c r="AN33" i="1"/>
  <c r="AN25" i="1"/>
  <c r="AN17" i="1"/>
  <c r="AN9" i="1"/>
  <c r="AO175" i="1"/>
  <c r="AO167" i="1"/>
  <c r="AO159" i="1"/>
  <c r="AO151" i="1"/>
  <c r="AO143" i="1"/>
  <c r="AO135" i="1"/>
  <c r="AO127" i="1"/>
  <c r="AO119" i="1"/>
  <c r="AO111" i="1"/>
  <c r="AO103" i="1"/>
  <c r="AO95" i="1"/>
  <c r="AO87" i="1"/>
  <c r="AO79" i="1"/>
  <c r="AO71" i="1"/>
  <c r="AO63" i="1"/>
  <c r="AO55" i="1"/>
  <c r="AO47" i="1"/>
  <c r="AO39" i="1"/>
  <c r="AO31" i="1"/>
  <c r="AO23" i="1"/>
  <c r="AO15" i="1"/>
  <c r="AO7" i="1"/>
  <c r="AJ178" i="1"/>
  <c r="AJ170" i="1"/>
  <c r="AJ162" i="1"/>
  <c r="AJ154" i="1"/>
  <c r="AJ146" i="1"/>
  <c r="AJ138" i="1"/>
  <c r="AJ130" i="1"/>
  <c r="AJ122" i="1"/>
  <c r="AJ114" i="1"/>
  <c r="AJ106" i="1"/>
  <c r="AJ98" i="1"/>
  <c r="AJ90" i="1"/>
  <c r="AJ82" i="1"/>
  <c r="AJ74" i="1"/>
  <c r="AJ66" i="1"/>
  <c r="AJ58" i="1"/>
  <c r="AJ50" i="1"/>
  <c r="AJ42" i="1"/>
  <c r="AJ34" i="1"/>
  <c r="AJ26" i="1"/>
  <c r="AJ18" i="1"/>
  <c r="AJ10" i="1"/>
  <c r="AK176" i="1"/>
  <c r="AK168" i="1"/>
  <c r="AK160" i="1"/>
  <c r="AK152" i="1"/>
  <c r="AK144" i="1"/>
  <c r="AK136" i="1"/>
  <c r="AK128" i="1"/>
  <c r="AK120" i="1"/>
  <c r="AK112" i="1"/>
  <c r="AK104" i="1"/>
  <c r="AK96" i="1"/>
  <c r="AK88" i="1"/>
  <c r="AK80" i="1"/>
  <c r="AK72" i="1"/>
  <c r="AK64" i="1"/>
  <c r="AK56" i="1"/>
  <c r="AK48" i="1"/>
  <c r="AK40" i="1"/>
  <c r="AK32" i="1"/>
  <c r="AK24" i="1"/>
  <c r="AK16" i="1"/>
  <c r="AK8" i="1"/>
  <c r="AL175" i="1"/>
  <c r="AL167" i="1"/>
  <c r="AL159" i="1"/>
  <c r="AL151" i="1"/>
  <c r="AL143" i="1"/>
  <c r="AL135" i="1"/>
  <c r="AL127" i="1"/>
  <c r="AL119" i="1"/>
  <c r="AL111" i="1"/>
  <c r="AL103" i="1"/>
  <c r="AL95" i="1"/>
  <c r="AL87" i="1"/>
  <c r="AL79" i="1"/>
  <c r="AL71" i="1"/>
  <c r="AL63" i="1"/>
  <c r="AL55" i="1"/>
  <c r="AL47" i="1"/>
  <c r="AL39" i="1"/>
  <c r="AL31" i="1"/>
  <c r="AL23" i="1"/>
  <c r="AL15" i="1"/>
  <c r="AL7" i="1"/>
  <c r="AN176" i="1"/>
  <c r="AN168" i="1"/>
  <c r="AN160" i="1"/>
  <c r="AN152" i="1"/>
  <c r="AN144" i="1"/>
  <c r="AN136" i="1"/>
  <c r="AN128" i="1"/>
  <c r="AN120" i="1"/>
  <c r="AN112" i="1"/>
  <c r="AN104" i="1"/>
  <c r="AN96" i="1"/>
  <c r="AN88" i="1"/>
  <c r="AN80" i="1"/>
  <c r="AN72" i="1"/>
  <c r="AN64" i="1"/>
  <c r="AN56" i="1"/>
  <c r="AN48" i="1"/>
  <c r="AN40" i="1"/>
  <c r="AN32" i="1"/>
  <c r="AN24" i="1"/>
  <c r="AN16" i="1"/>
  <c r="AN8" i="1"/>
  <c r="AO174" i="1"/>
  <c r="AO166" i="1"/>
  <c r="AO158" i="1"/>
  <c r="AO150" i="1"/>
  <c r="AO142" i="1"/>
  <c r="AO134" i="1"/>
  <c r="AO126" i="1"/>
  <c r="AO118" i="1"/>
  <c r="AO110" i="1"/>
  <c r="AO102" i="1"/>
  <c r="AO94" i="1"/>
  <c r="AO86" i="1"/>
  <c r="AO78" i="1"/>
  <c r="AO70" i="1"/>
  <c r="AO62" i="1"/>
  <c r="AO54" i="1"/>
  <c r="AO46" i="1"/>
  <c r="AO38" i="1"/>
  <c r="AO30" i="1"/>
  <c r="AO22" i="1"/>
  <c r="AO14" i="1"/>
  <c r="AO6" i="1"/>
  <c r="W2" i="1"/>
  <c r="W182" i="1" s="1"/>
  <c r="AH2" i="1" l="1"/>
  <c r="AH182" i="1" s="1"/>
  <c r="AG2" i="1" l="1"/>
  <c r="AG182" i="1" s="1"/>
  <c r="AF2" i="1" l="1"/>
  <c r="AO2" i="1" l="1"/>
  <c r="AO182" i="1" s="1"/>
  <c r="AF182" i="1"/>
  <c r="Y3" i="1"/>
  <c r="Z3" i="1"/>
  <c r="AE2" i="1"/>
  <c r="AE182" i="1" s="1"/>
  <c r="AK3" i="1" l="1"/>
  <c r="AD2" i="1"/>
  <c r="AN2" i="1" l="1"/>
  <c r="AN182" i="1" s="1"/>
  <c r="AD182" i="1"/>
  <c r="AC2" i="1"/>
  <c r="AM2" i="1" l="1"/>
  <c r="AM182" i="1" s="1"/>
  <c r="AC182" i="1"/>
  <c r="AB2" i="1"/>
  <c r="AB182" i="1" s="1"/>
  <c r="AA2" i="1" l="1"/>
  <c r="AL2" i="1" l="1"/>
  <c r="AL182" i="1" s="1"/>
  <c r="AA182" i="1"/>
  <c r="Z2" i="1"/>
  <c r="Z182" i="1" s="1"/>
  <c r="Y2" i="1" l="1"/>
  <c r="Y182" i="1" s="1"/>
  <c r="X2" i="1" l="1"/>
  <c r="AK2" i="1" l="1"/>
  <c r="AK182" i="1" s="1"/>
  <c r="X182" i="1"/>
  <c r="V2" i="1"/>
  <c r="AJ2" i="1" l="1"/>
  <c r="AJ182" i="1" s="1"/>
  <c r="V182" i="1"/>
  <c r="U2" i="1"/>
  <c r="U182" i="1" s="1"/>
  <c r="T3" i="1" l="1"/>
  <c r="AI3" i="1" s="1"/>
  <c r="T4" i="1"/>
  <c r="AI4" i="1" s="1"/>
  <c r="T5" i="1"/>
  <c r="AI5" i="1" s="1"/>
  <c r="T6" i="1"/>
  <c r="AI6" i="1" s="1"/>
  <c r="T7" i="1"/>
  <c r="AI7" i="1" s="1"/>
  <c r="T8" i="1"/>
  <c r="AI8" i="1" s="1"/>
  <c r="T9" i="1"/>
  <c r="AI9" i="1" s="1"/>
  <c r="T10" i="1"/>
  <c r="AI10" i="1" s="1"/>
  <c r="T11" i="1"/>
  <c r="AI11" i="1" s="1"/>
  <c r="T12" i="1"/>
  <c r="AI12" i="1" s="1"/>
  <c r="T13" i="1"/>
  <c r="AI13" i="1" s="1"/>
  <c r="T14" i="1"/>
  <c r="AI14" i="1" s="1"/>
  <c r="T15" i="1"/>
  <c r="AI15" i="1" s="1"/>
  <c r="T16" i="1"/>
  <c r="AI16" i="1" s="1"/>
  <c r="T17" i="1"/>
  <c r="AI17" i="1" s="1"/>
  <c r="T18" i="1"/>
  <c r="AI18" i="1" s="1"/>
  <c r="T19" i="1"/>
  <c r="AI19" i="1" s="1"/>
  <c r="T20" i="1"/>
  <c r="AI20" i="1" s="1"/>
  <c r="T21" i="1"/>
  <c r="AI21" i="1" s="1"/>
  <c r="T22" i="1"/>
  <c r="AI22" i="1" s="1"/>
  <c r="T23" i="1"/>
  <c r="AI23" i="1" s="1"/>
  <c r="T24" i="1"/>
  <c r="AI24" i="1" s="1"/>
  <c r="T25" i="1"/>
  <c r="AI25" i="1" s="1"/>
  <c r="T26" i="1"/>
  <c r="AI26" i="1" s="1"/>
  <c r="T27" i="1"/>
  <c r="AI27" i="1" s="1"/>
  <c r="T28" i="1"/>
  <c r="AI28" i="1" s="1"/>
  <c r="T29" i="1"/>
  <c r="AI29" i="1" s="1"/>
  <c r="T30" i="1"/>
  <c r="AI30" i="1" s="1"/>
  <c r="T31" i="1"/>
  <c r="AI31" i="1" s="1"/>
  <c r="T32" i="1"/>
  <c r="AI32" i="1" s="1"/>
  <c r="T33" i="1"/>
  <c r="AI33" i="1" s="1"/>
  <c r="T34" i="1"/>
  <c r="AI34" i="1" s="1"/>
  <c r="T35" i="1"/>
  <c r="AI35" i="1" s="1"/>
  <c r="T36" i="1"/>
  <c r="AI36" i="1" s="1"/>
  <c r="T37" i="1"/>
  <c r="AI37" i="1" s="1"/>
  <c r="T38" i="1"/>
  <c r="AI38" i="1" s="1"/>
  <c r="T39" i="1"/>
  <c r="AI39" i="1" s="1"/>
  <c r="T40" i="1"/>
  <c r="AI40" i="1" s="1"/>
  <c r="T41" i="1"/>
  <c r="AI41" i="1" s="1"/>
  <c r="T42" i="1"/>
  <c r="AI42" i="1" s="1"/>
  <c r="T43" i="1"/>
  <c r="AI43" i="1" s="1"/>
  <c r="T44" i="1"/>
  <c r="AI44" i="1" s="1"/>
  <c r="T45" i="1"/>
  <c r="AI45" i="1" s="1"/>
  <c r="T46" i="1"/>
  <c r="AI46" i="1" s="1"/>
  <c r="T47" i="1"/>
  <c r="AI47" i="1" s="1"/>
  <c r="T48" i="1"/>
  <c r="AI48" i="1" s="1"/>
  <c r="T49" i="1"/>
  <c r="AI49" i="1" s="1"/>
  <c r="T50" i="1"/>
  <c r="AI50" i="1" s="1"/>
  <c r="T51" i="1"/>
  <c r="AI51" i="1" s="1"/>
  <c r="T52" i="1"/>
  <c r="AI52" i="1" s="1"/>
  <c r="T53" i="1"/>
  <c r="AI53" i="1" s="1"/>
  <c r="T54" i="1"/>
  <c r="AI54" i="1" s="1"/>
  <c r="T55" i="1"/>
  <c r="AI55" i="1" s="1"/>
  <c r="T56" i="1"/>
  <c r="AI56" i="1" s="1"/>
  <c r="T57" i="1"/>
  <c r="AI57" i="1" s="1"/>
  <c r="T58" i="1"/>
  <c r="AI58" i="1" s="1"/>
  <c r="T59" i="1"/>
  <c r="AI59" i="1" s="1"/>
  <c r="T60" i="1"/>
  <c r="AI60" i="1" s="1"/>
  <c r="T61" i="1"/>
  <c r="AI61" i="1" s="1"/>
  <c r="T62" i="1"/>
  <c r="AI62" i="1" s="1"/>
  <c r="T63" i="1"/>
  <c r="AI63" i="1" s="1"/>
  <c r="T64" i="1"/>
  <c r="AI64" i="1" s="1"/>
  <c r="T65" i="1"/>
  <c r="AI65" i="1" s="1"/>
  <c r="T66" i="1"/>
  <c r="AI66" i="1" s="1"/>
  <c r="T67" i="1"/>
  <c r="AI67" i="1" s="1"/>
  <c r="T68" i="1"/>
  <c r="AI68" i="1" s="1"/>
  <c r="T69" i="1"/>
  <c r="AI69" i="1" s="1"/>
  <c r="T70" i="1"/>
  <c r="AI70" i="1" s="1"/>
  <c r="T71" i="1"/>
  <c r="AI71" i="1" s="1"/>
  <c r="T72" i="1"/>
  <c r="AI72" i="1" s="1"/>
  <c r="T73" i="1"/>
  <c r="AI73" i="1" s="1"/>
  <c r="T74" i="1"/>
  <c r="AI74" i="1" s="1"/>
  <c r="T75" i="1"/>
  <c r="AI75" i="1" s="1"/>
  <c r="T76" i="1"/>
  <c r="AI76" i="1" s="1"/>
  <c r="T77" i="1"/>
  <c r="AI77" i="1" s="1"/>
  <c r="T78" i="1"/>
  <c r="AI78" i="1" s="1"/>
  <c r="T79" i="1"/>
  <c r="AI79" i="1" s="1"/>
  <c r="T80" i="1"/>
  <c r="AI80" i="1" s="1"/>
  <c r="T81" i="1"/>
  <c r="AI81" i="1" s="1"/>
  <c r="T82" i="1"/>
  <c r="AI82" i="1" s="1"/>
  <c r="T83" i="1"/>
  <c r="AI83" i="1" s="1"/>
  <c r="T84" i="1"/>
  <c r="AI84" i="1" s="1"/>
  <c r="T85" i="1"/>
  <c r="AI85" i="1" s="1"/>
  <c r="T86" i="1"/>
  <c r="AI86" i="1" s="1"/>
  <c r="T87" i="1"/>
  <c r="AI87" i="1" s="1"/>
  <c r="T88" i="1"/>
  <c r="AI88" i="1" s="1"/>
  <c r="T89" i="1"/>
  <c r="AI89" i="1" s="1"/>
  <c r="T90" i="1"/>
  <c r="AI90" i="1" s="1"/>
  <c r="T91" i="1"/>
  <c r="AI91" i="1" s="1"/>
  <c r="T92" i="1"/>
  <c r="AI92" i="1" s="1"/>
  <c r="T93" i="1"/>
  <c r="AI93" i="1" s="1"/>
  <c r="T94" i="1"/>
  <c r="AI94" i="1" s="1"/>
  <c r="T95" i="1"/>
  <c r="AI95" i="1" s="1"/>
  <c r="T96" i="1"/>
  <c r="AI96" i="1" s="1"/>
  <c r="T97" i="1"/>
  <c r="AI97" i="1" s="1"/>
  <c r="T98" i="1"/>
  <c r="AI98" i="1" s="1"/>
  <c r="T99" i="1"/>
  <c r="AI99" i="1" s="1"/>
  <c r="T100" i="1"/>
  <c r="AI100" i="1" s="1"/>
  <c r="T101" i="1"/>
  <c r="AI101" i="1" s="1"/>
  <c r="T102" i="1"/>
  <c r="AI102" i="1" s="1"/>
  <c r="T103" i="1"/>
  <c r="AI103" i="1" s="1"/>
  <c r="T104" i="1"/>
  <c r="AI104" i="1" s="1"/>
  <c r="T105" i="1"/>
  <c r="AI105" i="1" s="1"/>
  <c r="T106" i="1"/>
  <c r="AI106" i="1" s="1"/>
  <c r="T107" i="1"/>
  <c r="AI107" i="1" s="1"/>
  <c r="T108" i="1"/>
  <c r="AI108" i="1" s="1"/>
  <c r="T109" i="1"/>
  <c r="AI109" i="1" s="1"/>
  <c r="T110" i="1"/>
  <c r="AI110" i="1" s="1"/>
  <c r="T111" i="1"/>
  <c r="AI111" i="1" s="1"/>
  <c r="T112" i="1"/>
  <c r="AI112" i="1" s="1"/>
  <c r="T113" i="1"/>
  <c r="AI113" i="1" s="1"/>
  <c r="T114" i="1"/>
  <c r="AI114" i="1" s="1"/>
  <c r="T115" i="1"/>
  <c r="AI115" i="1" s="1"/>
  <c r="T116" i="1"/>
  <c r="AI116" i="1" s="1"/>
  <c r="T117" i="1"/>
  <c r="AI117" i="1" s="1"/>
  <c r="T118" i="1"/>
  <c r="AI118" i="1" s="1"/>
  <c r="T119" i="1"/>
  <c r="AI119" i="1" s="1"/>
  <c r="T120" i="1"/>
  <c r="AI120" i="1" s="1"/>
  <c r="T121" i="1"/>
  <c r="AI121" i="1" s="1"/>
  <c r="T122" i="1"/>
  <c r="AI122" i="1" s="1"/>
  <c r="T123" i="1"/>
  <c r="AI123" i="1" s="1"/>
  <c r="T124" i="1"/>
  <c r="AI124" i="1" s="1"/>
  <c r="T125" i="1"/>
  <c r="AI125" i="1" s="1"/>
  <c r="T126" i="1"/>
  <c r="AI126" i="1" s="1"/>
  <c r="T127" i="1"/>
  <c r="AI127" i="1" s="1"/>
  <c r="T128" i="1"/>
  <c r="AI128" i="1" s="1"/>
  <c r="T129" i="1"/>
  <c r="AI129" i="1" s="1"/>
  <c r="T130" i="1"/>
  <c r="AI130" i="1" s="1"/>
  <c r="T131" i="1"/>
  <c r="AI131" i="1" s="1"/>
  <c r="T132" i="1"/>
  <c r="AI132" i="1" s="1"/>
  <c r="T133" i="1"/>
  <c r="AI133" i="1" s="1"/>
  <c r="T134" i="1"/>
  <c r="AI134" i="1" s="1"/>
  <c r="T135" i="1"/>
  <c r="AI135" i="1" s="1"/>
  <c r="T136" i="1"/>
  <c r="AI136" i="1" s="1"/>
  <c r="T137" i="1"/>
  <c r="AI137" i="1" s="1"/>
  <c r="T138" i="1"/>
  <c r="AI138" i="1" s="1"/>
  <c r="T139" i="1"/>
  <c r="AI139" i="1" s="1"/>
  <c r="T140" i="1"/>
  <c r="AI140" i="1" s="1"/>
  <c r="T141" i="1"/>
  <c r="AI141" i="1" s="1"/>
  <c r="T142" i="1"/>
  <c r="AI142" i="1" s="1"/>
  <c r="T143" i="1"/>
  <c r="AI143" i="1" s="1"/>
  <c r="T144" i="1"/>
  <c r="AI144" i="1" s="1"/>
  <c r="T145" i="1"/>
  <c r="AI145" i="1" s="1"/>
  <c r="T146" i="1"/>
  <c r="AI146" i="1" s="1"/>
  <c r="T147" i="1"/>
  <c r="AI147" i="1" s="1"/>
  <c r="T148" i="1"/>
  <c r="AI148" i="1" s="1"/>
  <c r="T149" i="1"/>
  <c r="AI149" i="1" s="1"/>
  <c r="T150" i="1"/>
  <c r="AI150" i="1" s="1"/>
  <c r="T151" i="1"/>
  <c r="AI151" i="1" s="1"/>
  <c r="T152" i="1"/>
  <c r="AI152" i="1" s="1"/>
  <c r="T153" i="1"/>
  <c r="AI153" i="1" s="1"/>
  <c r="T154" i="1"/>
  <c r="AI154" i="1" s="1"/>
  <c r="T155" i="1"/>
  <c r="AI155" i="1" s="1"/>
  <c r="T156" i="1"/>
  <c r="AI156" i="1" s="1"/>
  <c r="T157" i="1"/>
  <c r="AI157" i="1" s="1"/>
  <c r="T158" i="1"/>
  <c r="AI158" i="1" s="1"/>
  <c r="T159" i="1"/>
  <c r="AI159" i="1" s="1"/>
  <c r="T160" i="1"/>
  <c r="AI160" i="1" s="1"/>
  <c r="T161" i="1"/>
  <c r="AI161" i="1" s="1"/>
  <c r="T162" i="1"/>
  <c r="AI162" i="1" s="1"/>
  <c r="T163" i="1"/>
  <c r="AI163" i="1" s="1"/>
  <c r="T164" i="1"/>
  <c r="AI164" i="1" s="1"/>
  <c r="T165" i="1"/>
  <c r="AI165" i="1" s="1"/>
  <c r="T166" i="1"/>
  <c r="AI166" i="1" s="1"/>
  <c r="T167" i="1"/>
  <c r="AI167" i="1" s="1"/>
  <c r="T168" i="1"/>
  <c r="AI168" i="1" s="1"/>
  <c r="T169" i="1"/>
  <c r="AI169" i="1" s="1"/>
  <c r="T170" i="1"/>
  <c r="AI170" i="1" s="1"/>
  <c r="T171" i="1"/>
  <c r="AI171" i="1" s="1"/>
  <c r="T172" i="1"/>
  <c r="AI172" i="1" s="1"/>
  <c r="T173" i="1"/>
  <c r="AI173" i="1" s="1"/>
  <c r="T174" i="1"/>
  <c r="AI174" i="1" s="1"/>
  <c r="T175" i="1"/>
  <c r="AI175" i="1" s="1"/>
  <c r="T176" i="1"/>
  <c r="AI176" i="1" s="1"/>
  <c r="T177" i="1"/>
  <c r="AI177" i="1" s="1"/>
  <c r="T178" i="1"/>
  <c r="AI178" i="1" s="1"/>
  <c r="T179" i="1"/>
  <c r="AI179" i="1" s="1"/>
  <c r="T180" i="1"/>
  <c r="AI180" i="1" s="1"/>
  <c r="T181" i="1"/>
  <c r="AI181" i="1" s="1"/>
  <c r="T2" i="1"/>
  <c r="AI2" i="1" l="1"/>
  <c r="AI182" i="1" s="1"/>
  <c r="AI183" i="1" s="1"/>
  <c r="T182" i="1"/>
  <c r="R182" i="1"/>
</calcChain>
</file>

<file path=xl/sharedStrings.xml><?xml version="1.0" encoding="utf-8"?>
<sst xmlns="http://schemas.openxmlformats.org/spreadsheetml/2006/main" count="222" uniqueCount="101">
  <si>
    <t>id</t>
  </si>
  <si>
    <t>Nome</t>
  </si>
  <si>
    <t>CA_Pavimen</t>
  </si>
  <si>
    <t>CA_Largura</t>
  </si>
  <si>
    <t>MO_DimQuad</t>
  </si>
  <si>
    <t>MO_DisTran</t>
  </si>
  <si>
    <t>AT_FisPerm</t>
  </si>
  <si>
    <t>AT_Visu_At</t>
  </si>
  <si>
    <t>AT_UsoMist</t>
  </si>
  <si>
    <t>SV_Tipolog</t>
  </si>
  <si>
    <t>SV_Travess</t>
  </si>
  <si>
    <t>SP_Ilumina</t>
  </si>
  <si>
    <t>AM_SomAbri</t>
  </si>
  <si>
    <t>AM_ColeLix</t>
  </si>
  <si>
    <t>AC_PisoTat</t>
  </si>
  <si>
    <t>AC_Obstacu</t>
  </si>
  <si>
    <t>AC_Rampa</t>
  </si>
  <si>
    <t>Tam_Segmen</t>
  </si>
  <si>
    <t>Largo do Farol</t>
  </si>
  <si>
    <t>Avevida Oceânica</t>
  </si>
  <si>
    <t>Rua Dias D'Ávila</t>
  </si>
  <si>
    <t>Avenida Almirante Marquês de Leão</t>
  </si>
  <si>
    <t>Avenida Oceânica</t>
  </si>
  <si>
    <t>Rua Dom Marcos Teixeira</t>
  </si>
  <si>
    <t>Rua Alfredo Magalhães</t>
  </si>
  <si>
    <t>Rua Professor Lemos Brito</t>
  </si>
  <si>
    <t>Rua Marquês de Caravelas</t>
  </si>
  <si>
    <t>Rua Francisco Otaviano</t>
  </si>
  <si>
    <t>Rua Professor Fernando Luz</t>
  </si>
  <si>
    <t>Rua Miguel Burnier</t>
  </si>
  <si>
    <t>Rua Fernando Luz</t>
  </si>
  <si>
    <t>Rua Muguel Burnier</t>
  </si>
  <si>
    <t>Rua Leoni Ramos</t>
  </si>
  <si>
    <t>Rua Airosa Galvão</t>
  </si>
  <si>
    <t>Travessa Marquês de Leão</t>
  </si>
  <si>
    <t>Rua Professor lemos Brito</t>
  </si>
  <si>
    <t>Rua Afonso Celso</t>
  </si>
  <si>
    <t>Largo do Farol da Barra</t>
  </si>
  <si>
    <t>Avenida Sete de Setembro</t>
  </si>
  <si>
    <t>Rua Tenente Pires Ferreira</t>
  </si>
  <si>
    <t>Rua Presidente Kenndy</t>
  </si>
  <si>
    <t>Rua Doutor João Pondé</t>
  </si>
  <si>
    <t>Avenida Princesa Isabel</t>
  </si>
  <si>
    <t>Rua Presidente Kennedy</t>
  </si>
  <si>
    <t>Rua Raul Drumond</t>
  </si>
  <si>
    <t>Largo do Porto da Barra</t>
  </si>
  <si>
    <t>Rua Barão de Itapoan</t>
  </si>
  <si>
    <t>Rua Barão de Sergy</t>
  </si>
  <si>
    <t>Rua Doutor Artur Neiva</t>
  </si>
  <si>
    <t>Rua Carlos Chiacchio</t>
  </si>
  <si>
    <t>Rua Silvino Marques</t>
  </si>
  <si>
    <t>Rua José Sátiro de Oliveira</t>
  </si>
  <si>
    <t>Rua Engenheiro Milton Oliveira</t>
  </si>
  <si>
    <t>Rua Cesar Zama</t>
  </si>
  <si>
    <t>Rua Cesae Zana</t>
  </si>
  <si>
    <t>Rua Doutor Praguer Fróes</t>
  </si>
  <si>
    <t>Alameda Antunes</t>
  </si>
  <si>
    <t>Rua Maequês de Caravelas</t>
  </si>
  <si>
    <t>Rua Lord Cochrane</t>
  </si>
  <si>
    <t>Rua Comendador Bernardo Catarino</t>
  </si>
  <si>
    <t>Rua da Palmeira</t>
  </si>
  <si>
    <t>Rua Greenfeld</t>
  </si>
  <si>
    <t>Travessa Greenfeld</t>
  </si>
  <si>
    <t>Rua Recife</t>
  </si>
  <si>
    <t>Rua Florianopólis</t>
  </si>
  <si>
    <t>Rua Oscar Carrascosa</t>
  </si>
  <si>
    <t>Rua Belém do Pará</t>
  </si>
  <si>
    <t>Rua Belo Horizonte</t>
  </si>
  <si>
    <t>Rua Augusto Frederico Schimith</t>
  </si>
  <si>
    <t>Rua Maceió</t>
  </si>
  <si>
    <t>Rua Aracaju</t>
  </si>
  <si>
    <t>Rua Augusto Frederico Schmith</t>
  </si>
  <si>
    <t>Rua Eduardo Diniz Gonçalves</t>
  </si>
  <si>
    <t>Travessa Marquês de Caravelas</t>
  </si>
  <si>
    <t>Praça Santo Antônio da Barra</t>
  </si>
  <si>
    <t>Avenida Centenário</t>
  </si>
  <si>
    <t>Rua Bolivar Saback</t>
  </si>
  <si>
    <t>P1_AT_UsosMis</t>
  </si>
  <si>
    <t>P1_SV_Tipolog</t>
  </si>
  <si>
    <t>P1_SV_Travessia</t>
  </si>
  <si>
    <t>P1_SP_Ilumina</t>
  </si>
  <si>
    <t>P1_AM_SomAbrigo</t>
  </si>
  <si>
    <t>P1_AM_ColLixo</t>
  </si>
  <si>
    <t>P1_AC_PisoTat</t>
  </si>
  <si>
    <t>P1_AC_Obstac</t>
  </si>
  <si>
    <t>P1_AC_Rampa</t>
  </si>
  <si>
    <t>P1_CA_Pav</t>
  </si>
  <si>
    <t>P1_CA_Larg</t>
  </si>
  <si>
    <t>P1_MO_DimQua</t>
  </si>
  <si>
    <t>P1_MO_DisTran</t>
  </si>
  <si>
    <t>P1_AT_FisPerm</t>
  </si>
  <si>
    <t>P1_AT_VisAtv</t>
  </si>
  <si>
    <t>Ri1</t>
  </si>
  <si>
    <t>Ci1_Calçada</t>
  </si>
  <si>
    <t>Ci1_Mobilidade</t>
  </si>
  <si>
    <t>Ci1_Atração</t>
  </si>
  <si>
    <t>Ci1_SegViaria</t>
  </si>
  <si>
    <t>Ci1_SegPublica</t>
  </si>
  <si>
    <t>Ci1_Ambiente</t>
  </si>
  <si>
    <t>Ci1_Acessibilidade</t>
  </si>
  <si>
    <t>ICAM BARRA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</si>
</sst>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2" borderId="0" xfId="0" applyFill="1" applyAlignment="1">
      <alignment horizontal="right"/>
    </xf>
    <xf numFmtId="2" fontId="0" fillId="2" borderId="0" xfId="0" applyNumberFormat="1" applyFill="1"/>
    <xf numFmtId="2" fontId="0" fillId="3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83"/>
  <sheetViews>
    <sheetView tabSelected="1" topLeftCell="A139" workbookViewId="0">
      <selection activeCell="J179" sqref="J179"/>
    </sheetView>
  </sheetViews>
  <sheetFormatPr defaultRowHeight="12.75" x14ac:dyDescent="0.2"/>
  <cols>
    <col min="2" max="2" width="15" customWidth="1"/>
    <col min="3" max="29" width="15"/>
    <col min="30" max="30" width="16.5703125" bestFit="1" customWidth="1"/>
    <col min="31" max="1024" width="15"/>
  </cols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t="s">
        <v>86</v>
      </c>
      <c r="U1" t="s">
        <v>87</v>
      </c>
      <c r="V1" t="s">
        <v>88</v>
      </c>
      <c r="W1" t="s">
        <v>89</v>
      </c>
      <c r="X1" t="s">
        <v>90</v>
      </c>
      <c r="Y1" t="s">
        <v>91</v>
      </c>
      <c r="Z1" t="s">
        <v>77</v>
      </c>
      <c r="AA1" t="s">
        <v>78</v>
      </c>
      <c r="AB1" t="s">
        <v>79</v>
      </c>
      <c r="AC1" t="s">
        <v>80</v>
      </c>
      <c r="AD1" t="s">
        <v>81</v>
      </c>
      <c r="AE1" t="s">
        <v>82</v>
      </c>
      <c r="AF1" t="s">
        <v>83</v>
      </c>
      <c r="AG1" t="s">
        <v>84</v>
      </c>
      <c r="AH1" t="s">
        <v>85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</row>
    <row r="2" spans="1:41" x14ac:dyDescent="0.2">
      <c r="A2">
        <v>0</v>
      </c>
      <c r="B2" t="s">
        <v>18</v>
      </c>
      <c r="C2">
        <v>3</v>
      </c>
      <c r="D2">
        <v>2</v>
      </c>
      <c r="E2">
        <v>3</v>
      </c>
      <c r="F2">
        <v>3</v>
      </c>
      <c r="G2">
        <v>1</v>
      </c>
      <c r="H2">
        <v>0</v>
      </c>
      <c r="I2">
        <v>0</v>
      </c>
      <c r="J2">
        <v>3</v>
      </c>
      <c r="K2">
        <v>3</v>
      </c>
      <c r="L2">
        <v>2</v>
      </c>
      <c r="M2">
        <v>3</v>
      </c>
      <c r="N2">
        <v>3</v>
      </c>
      <c r="O2">
        <v>3</v>
      </c>
      <c r="P2">
        <v>1</v>
      </c>
      <c r="Q2">
        <v>1</v>
      </c>
      <c r="R2">
        <v>42.594999999999999</v>
      </c>
      <c r="S2">
        <v>25886.612000000001</v>
      </c>
      <c r="T2" s="1">
        <f>(((R2*100)/S2)*C2)</f>
        <v>0.49363354308396945</v>
      </c>
      <c r="U2" s="1">
        <f>(((R2*100)/S2)*D2)</f>
        <v>0.32908902872264628</v>
      </c>
      <c r="V2" s="1">
        <f>(((R2*100)/S2)*E2)</f>
        <v>0.49363354308396945</v>
      </c>
      <c r="W2" s="1">
        <f>(((R2*100)/S2)*F2)</f>
        <v>0.49363354308396945</v>
      </c>
      <c r="X2" s="1">
        <f>(((R2*100)/S2)*G2)</f>
        <v>0.16454451436132314</v>
      </c>
      <c r="Y2">
        <f>(((R2*100)/S2)*H2)</f>
        <v>0</v>
      </c>
      <c r="Z2">
        <f>(((R2*100)/S2)*I2)</f>
        <v>0</v>
      </c>
      <c r="AA2" s="1">
        <f>(((R2*100)/S2)*J2)</f>
        <v>0.49363354308396945</v>
      </c>
      <c r="AB2" s="1">
        <f>(((R2*100)/S2)*K2)</f>
        <v>0.49363354308396945</v>
      </c>
      <c r="AC2" s="1">
        <f>(((R2*100)/S2)*L2)</f>
        <v>0.32908902872264628</v>
      </c>
      <c r="AD2" s="1">
        <f>(((R2*100)/S2)*M2)</f>
        <v>0.49363354308396945</v>
      </c>
      <c r="AE2" s="1">
        <f>(((R2*100)/S2)*N2)</f>
        <v>0.49363354308396945</v>
      </c>
      <c r="AF2" s="1">
        <f>(((R2*100)/S2)*O2)</f>
        <v>0.49363354308396945</v>
      </c>
      <c r="AG2" s="1">
        <f>(((R2*100)/S2)*P2)</f>
        <v>0.16454451436132314</v>
      </c>
      <c r="AH2" s="1">
        <f>(((R2*100)/S2)*Q2)</f>
        <v>0.16454451436132314</v>
      </c>
      <c r="AI2" s="1">
        <f>SUM(T2:U2)/2</f>
        <v>0.41136128590330789</v>
      </c>
      <c r="AJ2" s="1">
        <f>SUM(V2:W2)/2</f>
        <v>0.49363354308396945</v>
      </c>
      <c r="AK2" s="1">
        <f>SUM(X2:Z2)/3</f>
        <v>5.484817145377438E-2</v>
      </c>
      <c r="AL2" s="1">
        <f>SUM(AA2:AB2)/2</f>
        <v>0.49363354308396945</v>
      </c>
      <c r="AM2" s="1">
        <f>(SUM(AC2)/1)</f>
        <v>0.32908902872264628</v>
      </c>
      <c r="AN2" s="1">
        <f>SUM(AD2:AE2)/2</f>
        <v>0.49363354308396945</v>
      </c>
      <c r="AO2" s="1">
        <f>SUM(AF2:AH2)/3</f>
        <v>0.27424085726887187</v>
      </c>
    </row>
    <row r="3" spans="1:41" x14ac:dyDescent="0.2">
      <c r="A3">
        <v>1</v>
      </c>
      <c r="B3" t="s">
        <v>19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1</v>
      </c>
      <c r="J3">
        <v>3</v>
      </c>
      <c r="K3">
        <v>3</v>
      </c>
      <c r="L3">
        <v>2</v>
      </c>
      <c r="M3">
        <v>3</v>
      </c>
      <c r="N3">
        <v>3</v>
      </c>
      <c r="O3">
        <v>3</v>
      </c>
      <c r="P3">
        <v>0</v>
      </c>
      <c r="Q3">
        <v>1</v>
      </c>
      <c r="R3">
        <v>106.053</v>
      </c>
      <c r="S3">
        <v>25886.612000000001</v>
      </c>
      <c r="T3" s="1">
        <f t="shared" ref="T3:T66" si="0">(((R3*100)/S3)*C3)</f>
        <v>1.2290484363114029</v>
      </c>
      <c r="U3" s="1">
        <f t="shared" ref="U3:U66" si="1">(((R3*100)/S3)*D3)</f>
        <v>1.2290484363114029</v>
      </c>
      <c r="V3" s="1">
        <f t="shared" ref="V3:V66" si="2">(((R3*100)/S3)*E3)</f>
        <v>1.2290484363114029</v>
      </c>
      <c r="W3" s="1">
        <f t="shared" ref="W3:W66" si="3">(((R3*100)/S3)*F3)</f>
        <v>1.2290484363114029</v>
      </c>
      <c r="X3" s="1">
        <f t="shared" ref="X3:X66" si="4">(((R3*100)/S3)*G3)</f>
        <v>1.2290484363114029</v>
      </c>
      <c r="Y3" s="1">
        <f>(((R3*100)/S3)*H3)</f>
        <v>1.2290484363114029</v>
      </c>
      <c r="Z3" s="1">
        <f>(((R3*100)/S3)*I3)</f>
        <v>0.40968281210380098</v>
      </c>
      <c r="AA3" s="1">
        <f t="shared" ref="AA3:AA66" si="5">(((R3*100)/S3)*J3)</f>
        <v>1.2290484363114029</v>
      </c>
      <c r="AB3" s="1">
        <f t="shared" ref="AB3:AB66" si="6">(((R3*100)/S3)*K3)</f>
        <v>1.2290484363114029</v>
      </c>
      <c r="AC3" s="1">
        <f t="shared" ref="AC3:AC66" si="7">(((R3*100)/S3)*L3)</f>
        <v>0.81936562420760195</v>
      </c>
      <c r="AD3" s="1">
        <f t="shared" ref="AD3:AD66" si="8">(((R3*100)/S3)*M3)</f>
        <v>1.2290484363114029</v>
      </c>
      <c r="AE3" s="1">
        <f t="shared" ref="AE3:AE66" si="9">(((R3*100)/S3)*N3)</f>
        <v>1.2290484363114029</v>
      </c>
      <c r="AF3" s="1">
        <f t="shared" ref="AF3:AF66" si="10">(((R3*100)/S3)*O3)</f>
        <v>1.2290484363114029</v>
      </c>
      <c r="AG3" s="1">
        <f t="shared" ref="AG3:AG66" si="11">(((R3*100)/S3)*P3)</f>
        <v>0</v>
      </c>
      <c r="AH3" s="1">
        <f t="shared" ref="AH3:AH66" si="12">(((R3*100)/S3)*Q3)</f>
        <v>0.40968281210380098</v>
      </c>
      <c r="AI3" s="1">
        <f t="shared" ref="AI3:AI6" si="13">SUM(T3:U3)/2</f>
        <v>1.2290484363114029</v>
      </c>
      <c r="AJ3" s="1">
        <f t="shared" ref="AJ3:AJ6" si="14">SUM(V3:W3)/2</f>
        <v>1.2290484363114029</v>
      </c>
      <c r="AK3" s="1">
        <f t="shared" ref="AK3:AK6" si="15">SUM(X3:Z3)/3</f>
        <v>0.95592656157553557</v>
      </c>
      <c r="AL3" s="1">
        <f t="shared" ref="AL3:AL6" si="16">SUM(AA3:AB3)/2</f>
        <v>1.2290484363114029</v>
      </c>
      <c r="AM3" s="1">
        <f t="shared" ref="AM3:AM6" si="17">(SUM(AC3)/1)</f>
        <v>0.81936562420760195</v>
      </c>
      <c r="AN3" s="1">
        <f t="shared" ref="AN3:AN6" si="18">SUM(AD3:AE3)/2</f>
        <v>1.2290484363114029</v>
      </c>
      <c r="AO3" s="1">
        <f t="shared" ref="AO3:AO6" si="19">SUM(AF3:AH3)/3</f>
        <v>0.5462437494717346</v>
      </c>
    </row>
    <row r="4" spans="1:41" x14ac:dyDescent="0.2">
      <c r="A4">
        <v>2</v>
      </c>
      <c r="B4" t="s">
        <v>20</v>
      </c>
      <c r="C4">
        <v>2</v>
      </c>
      <c r="D4">
        <v>2</v>
      </c>
      <c r="E4">
        <v>2</v>
      </c>
      <c r="F4">
        <v>3</v>
      </c>
      <c r="G4">
        <v>3</v>
      </c>
      <c r="H4">
        <v>3</v>
      </c>
      <c r="I4">
        <v>0</v>
      </c>
      <c r="J4">
        <v>3</v>
      </c>
      <c r="K4">
        <v>2</v>
      </c>
      <c r="L4">
        <v>2</v>
      </c>
      <c r="M4">
        <v>3</v>
      </c>
      <c r="N4">
        <v>3</v>
      </c>
      <c r="O4">
        <v>3</v>
      </c>
      <c r="P4">
        <v>1</v>
      </c>
      <c r="Q4">
        <v>1</v>
      </c>
      <c r="R4">
        <v>40.755000000000003</v>
      </c>
      <c r="S4">
        <v>25886.612000000001</v>
      </c>
      <c r="T4" s="1">
        <f t="shared" si="0"/>
        <v>0.31487318618597138</v>
      </c>
      <c r="U4" s="1">
        <f t="shared" si="1"/>
        <v>0.31487318618597138</v>
      </c>
      <c r="V4" s="1">
        <f t="shared" si="2"/>
        <v>0.31487318618597138</v>
      </c>
      <c r="W4" s="1">
        <f t="shared" si="3"/>
        <v>0.47230977927895706</v>
      </c>
      <c r="X4" s="1">
        <f t="shared" si="4"/>
        <v>0.47230977927895706</v>
      </c>
      <c r="Y4" s="1">
        <f t="shared" ref="Y4:Y67" si="20">(((R4*100)/S4)*H4)</f>
        <v>0.47230977927895706</v>
      </c>
      <c r="Z4" s="1">
        <f t="shared" ref="Z4:Z67" si="21">(((R4*100)/S4)*I4)</f>
        <v>0</v>
      </c>
      <c r="AA4" s="1">
        <f t="shared" si="5"/>
        <v>0.47230977927895706</v>
      </c>
      <c r="AB4" s="1">
        <f t="shared" si="6"/>
        <v>0.31487318618597138</v>
      </c>
      <c r="AC4" s="1">
        <f t="shared" si="7"/>
        <v>0.31487318618597138</v>
      </c>
      <c r="AD4" s="1">
        <f t="shared" si="8"/>
        <v>0.47230977927895706</v>
      </c>
      <c r="AE4" s="1">
        <f t="shared" si="9"/>
        <v>0.47230977927895706</v>
      </c>
      <c r="AF4" s="1">
        <f t="shared" si="10"/>
        <v>0.47230977927895706</v>
      </c>
      <c r="AG4" s="1">
        <f t="shared" si="11"/>
        <v>0.15743659309298569</v>
      </c>
      <c r="AH4" s="1">
        <f t="shared" si="12"/>
        <v>0.15743659309298569</v>
      </c>
      <c r="AI4" s="1">
        <f t="shared" si="13"/>
        <v>0.31487318618597138</v>
      </c>
      <c r="AJ4" s="1">
        <f t="shared" si="14"/>
        <v>0.39359148273246425</v>
      </c>
      <c r="AK4" s="1">
        <f t="shared" si="15"/>
        <v>0.31487318618597138</v>
      </c>
      <c r="AL4" s="1">
        <f t="shared" si="16"/>
        <v>0.39359148273246425</v>
      </c>
      <c r="AM4" s="1">
        <f t="shared" si="17"/>
        <v>0.31487318618597138</v>
      </c>
      <c r="AN4" s="1">
        <f t="shared" si="18"/>
        <v>0.47230977927895706</v>
      </c>
      <c r="AO4" s="1">
        <f t="shared" si="19"/>
        <v>0.26239432182164285</v>
      </c>
    </row>
    <row r="5" spans="1:41" x14ac:dyDescent="0.2">
      <c r="A5">
        <v>3</v>
      </c>
      <c r="B5" t="s">
        <v>21</v>
      </c>
      <c r="C5">
        <v>3</v>
      </c>
      <c r="D5">
        <v>2</v>
      </c>
      <c r="E5">
        <v>3</v>
      </c>
      <c r="F5">
        <v>3</v>
      </c>
      <c r="G5">
        <v>3</v>
      </c>
      <c r="H5">
        <v>3</v>
      </c>
      <c r="I5">
        <v>2</v>
      </c>
      <c r="J5">
        <v>2</v>
      </c>
      <c r="K5">
        <v>2</v>
      </c>
      <c r="L5">
        <v>2</v>
      </c>
      <c r="M5">
        <v>2</v>
      </c>
      <c r="N5">
        <v>3</v>
      </c>
      <c r="O5">
        <v>3</v>
      </c>
      <c r="P5">
        <v>1</v>
      </c>
      <c r="Q5">
        <v>1</v>
      </c>
      <c r="R5">
        <v>110.691</v>
      </c>
      <c r="S5">
        <v>25886.612000000001</v>
      </c>
      <c r="T5" s="1">
        <f t="shared" si="0"/>
        <v>1.2827982279025159</v>
      </c>
      <c r="U5" s="1">
        <f t="shared" si="1"/>
        <v>0.85519881860167724</v>
      </c>
      <c r="V5" s="1">
        <f t="shared" si="2"/>
        <v>1.2827982279025159</v>
      </c>
      <c r="W5" s="1">
        <f t="shared" si="3"/>
        <v>1.2827982279025159</v>
      </c>
      <c r="X5" s="1">
        <f t="shared" si="4"/>
        <v>1.2827982279025159</v>
      </c>
      <c r="Y5" s="1">
        <f t="shared" si="20"/>
        <v>1.2827982279025159</v>
      </c>
      <c r="Z5" s="1">
        <f t="shared" si="21"/>
        <v>0.85519881860167724</v>
      </c>
      <c r="AA5" s="1">
        <f t="shared" si="5"/>
        <v>0.85519881860167724</v>
      </c>
      <c r="AB5" s="1">
        <f t="shared" si="6"/>
        <v>0.85519881860167724</v>
      </c>
      <c r="AC5" s="1">
        <f t="shared" si="7"/>
        <v>0.85519881860167724</v>
      </c>
      <c r="AD5" s="1">
        <f t="shared" si="8"/>
        <v>0.85519881860167724</v>
      </c>
      <c r="AE5" s="1">
        <f t="shared" si="9"/>
        <v>1.2827982279025159</v>
      </c>
      <c r="AF5" s="1">
        <f t="shared" si="10"/>
        <v>1.2827982279025159</v>
      </c>
      <c r="AG5" s="1">
        <f t="shared" si="11"/>
        <v>0.42759940930083862</v>
      </c>
      <c r="AH5" s="1">
        <f t="shared" si="12"/>
        <v>0.42759940930083862</v>
      </c>
      <c r="AI5" s="1">
        <f t="shared" si="13"/>
        <v>1.0689985232520964</v>
      </c>
      <c r="AJ5" s="1">
        <f t="shared" si="14"/>
        <v>1.2827982279025159</v>
      </c>
      <c r="AK5" s="1">
        <f t="shared" si="15"/>
        <v>1.140265091468903</v>
      </c>
      <c r="AL5" s="1">
        <f t="shared" si="16"/>
        <v>0.85519881860167724</v>
      </c>
      <c r="AM5" s="1">
        <f t="shared" si="17"/>
        <v>0.85519881860167724</v>
      </c>
      <c r="AN5" s="1">
        <f t="shared" si="18"/>
        <v>1.0689985232520964</v>
      </c>
      <c r="AO5" s="1">
        <f t="shared" si="19"/>
        <v>0.71266568216806425</v>
      </c>
    </row>
    <row r="6" spans="1:41" x14ac:dyDescent="0.2">
      <c r="A6">
        <v>4</v>
      </c>
      <c r="B6" t="s">
        <v>20</v>
      </c>
      <c r="C6">
        <v>2</v>
      </c>
      <c r="D6">
        <v>2</v>
      </c>
      <c r="E6">
        <v>3</v>
      </c>
      <c r="F6">
        <v>3</v>
      </c>
      <c r="G6">
        <v>3</v>
      </c>
      <c r="H6">
        <v>3</v>
      </c>
      <c r="I6">
        <v>3</v>
      </c>
      <c r="J6">
        <v>3</v>
      </c>
      <c r="K6">
        <v>2</v>
      </c>
      <c r="L6">
        <v>2</v>
      </c>
      <c r="M6">
        <v>3</v>
      </c>
      <c r="N6">
        <v>3</v>
      </c>
      <c r="O6">
        <v>3</v>
      </c>
      <c r="P6">
        <v>1</v>
      </c>
      <c r="Q6">
        <v>1</v>
      </c>
      <c r="R6">
        <v>39.606999999999999</v>
      </c>
      <c r="S6">
        <v>25886.612000000001</v>
      </c>
      <c r="T6" s="1">
        <f t="shared" si="0"/>
        <v>0.30600373660330671</v>
      </c>
      <c r="U6" s="1">
        <f t="shared" si="1"/>
        <v>0.30600373660330671</v>
      </c>
      <c r="V6" s="1">
        <f t="shared" si="2"/>
        <v>0.45900560490496006</v>
      </c>
      <c r="W6" s="1">
        <f t="shared" si="3"/>
        <v>0.45900560490496006</v>
      </c>
      <c r="X6" s="1">
        <f t="shared" si="4"/>
        <v>0.45900560490496006</v>
      </c>
      <c r="Y6" s="1">
        <f t="shared" si="20"/>
        <v>0.45900560490496006</v>
      </c>
      <c r="Z6" s="1">
        <f t="shared" si="21"/>
        <v>0.45900560490496006</v>
      </c>
      <c r="AA6" s="1">
        <f t="shared" si="5"/>
        <v>0.45900560490496006</v>
      </c>
      <c r="AB6" s="1">
        <f t="shared" si="6"/>
        <v>0.30600373660330671</v>
      </c>
      <c r="AC6" s="1">
        <f t="shared" si="7"/>
        <v>0.30600373660330671</v>
      </c>
      <c r="AD6" s="1">
        <f t="shared" si="8"/>
        <v>0.45900560490496006</v>
      </c>
      <c r="AE6" s="1">
        <f t="shared" si="9"/>
        <v>0.45900560490496006</v>
      </c>
      <c r="AF6" s="1">
        <f t="shared" si="10"/>
        <v>0.45900560490496006</v>
      </c>
      <c r="AG6" s="1">
        <f t="shared" si="11"/>
        <v>0.15300186830165335</v>
      </c>
      <c r="AH6" s="1">
        <f t="shared" si="12"/>
        <v>0.15300186830165335</v>
      </c>
      <c r="AI6" s="1">
        <f t="shared" si="13"/>
        <v>0.30600373660330671</v>
      </c>
      <c r="AJ6" s="1">
        <f t="shared" si="14"/>
        <v>0.45900560490496006</v>
      </c>
      <c r="AK6" s="1">
        <f t="shared" si="15"/>
        <v>0.45900560490496006</v>
      </c>
      <c r="AL6" s="1">
        <f t="shared" si="16"/>
        <v>0.38250467075413341</v>
      </c>
      <c r="AM6" s="1">
        <f t="shared" si="17"/>
        <v>0.30600373660330671</v>
      </c>
      <c r="AN6" s="1">
        <f t="shared" si="18"/>
        <v>0.45900560490496006</v>
      </c>
      <c r="AO6" s="1">
        <f t="shared" si="19"/>
        <v>0.25500311383608892</v>
      </c>
    </row>
    <row r="7" spans="1:41" x14ac:dyDescent="0.2">
      <c r="A7">
        <v>5</v>
      </c>
      <c r="B7" t="s">
        <v>22</v>
      </c>
      <c r="C7">
        <v>3</v>
      </c>
      <c r="D7">
        <v>3</v>
      </c>
      <c r="E7">
        <v>3</v>
      </c>
      <c r="F7">
        <v>3</v>
      </c>
      <c r="G7">
        <v>2</v>
      </c>
      <c r="H7">
        <v>3</v>
      </c>
      <c r="I7">
        <v>2</v>
      </c>
      <c r="J7">
        <v>3</v>
      </c>
      <c r="K7">
        <v>3</v>
      </c>
      <c r="L7">
        <v>2</v>
      </c>
      <c r="M7">
        <v>3</v>
      </c>
      <c r="N7">
        <v>3</v>
      </c>
      <c r="O7">
        <v>3</v>
      </c>
      <c r="P7">
        <v>0</v>
      </c>
      <c r="Q7">
        <v>1</v>
      </c>
      <c r="R7">
        <v>46.859000000000002</v>
      </c>
      <c r="S7">
        <v>25886.612000000001</v>
      </c>
      <c r="T7" s="1">
        <f t="shared" si="0"/>
        <v>0.54304904790167208</v>
      </c>
      <c r="U7" s="1">
        <f t="shared" si="1"/>
        <v>0.54304904790167208</v>
      </c>
      <c r="V7" s="1">
        <f t="shared" si="2"/>
        <v>0.54304904790167208</v>
      </c>
      <c r="W7" s="1">
        <f t="shared" si="3"/>
        <v>0.54304904790167208</v>
      </c>
      <c r="X7" s="1">
        <f t="shared" si="4"/>
        <v>0.36203269860111476</v>
      </c>
      <c r="Y7" s="1">
        <f t="shared" si="20"/>
        <v>0.54304904790167208</v>
      </c>
      <c r="Z7" s="1">
        <f t="shared" si="21"/>
        <v>0.36203269860111476</v>
      </c>
      <c r="AA7" s="1">
        <f t="shared" si="5"/>
        <v>0.54304904790167208</v>
      </c>
      <c r="AB7" s="1">
        <f t="shared" si="6"/>
        <v>0.54304904790167208</v>
      </c>
      <c r="AC7" s="1">
        <f t="shared" si="7"/>
        <v>0.36203269860111476</v>
      </c>
      <c r="AD7" s="1">
        <f t="shared" si="8"/>
        <v>0.54304904790167208</v>
      </c>
      <c r="AE7" s="1">
        <f t="shared" si="9"/>
        <v>0.54304904790167208</v>
      </c>
      <c r="AF7" s="1">
        <f t="shared" si="10"/>
        <v>0.54304904790167208</v>
      </c>
      <c r="AG7" s="1">
        <f t="shared" si="11"/>
        <v>0</v>
      </c>
      <c r="AH7" s="1">
        <f t="shared" si="12"/>
        <v>0.18101634930055738</v>
      </c>
      <c r="AI7" s="1">
        <f t="shared" ref="AI7:AI70" si="22">SUM(T7:U7)/2</f>
        <v>0.54304904790167208</v>
      </c>
      <c r="AJ7" s="1">
        <f t="shared" ref="AJ7:AJ70" si="23">SUM(V7:W7)/2</f>
        <v>0.54304904790167208</v>
      </c>
      <c r="AK7" s="1">
        <f t="shared" ref="AK7:AK70" si="24">SUM(X7:Z7)/3</f>
        <v>0.42237148170130051</v>
      </c>
      <c r="AL7" s="1">
        <f t="shared" ref="AL7:AL70" si="25">SUM(AA7:AB7)/2</f>
        <v>0.54304904790167208</v>
      </c>
      <c r="AM7" s="1">
        <f t="shared" ref="AM7:AM70" si="26">(SUM(AC7)/1)</f>
        <v>0.36203269860111476</v>
      </c>
      <c r="AN7" s="1">
        <f t="shared" ref="AN7:AN70" si="27">SUM(AD7:AE7)/2</f>
        <v>0.54304904790167208</v>
      </c>
      <c r="AO7" s="1">
        <f t="shared" ref="AO7:AO70" si="28">SUM(AF7:AH7)/3</f>
        <v>0.24135513240074316</v>
      </c>
    </row>
    <row r="8" spans="1:41" x14ac:dyDescent="0.2">
      <c r="A8">
        <v>6</v>
      </c>
      <c r="B8" t="s">
        <v>23</v>
      </c>
      <c r="C8">
        <v>3</v>
      </c>
      <c r="D8">
        <v>2</v>
      </c>
      <c r="E8">
        <v>3</v>
      </c>
      <c r="F8">
        <v>3</v>
      </c>
      <c r="G8">
        <v>3</v>
      </c>
      <c r="H8">
        <v>0</v>
      </c>
      <c r="I8">
        <v>2</v>
      </c>
      <c r="J8">
        <v>3</v>
      </c>
      <c r="K8">
        <v>2</v>
      </c>
      <c r="L8">
        <v>2</v>
      </c>
      <c r="M8">
        <v>2</v>
      </c>
      <c r="N8">
        <v>3</v>
      </c>
      <c r="O8">
        <v>3</v>
      </c>
      <c r="P8">
        <v>3</v>
      </c>
      <c r="Q8">
        <v>1</v>
      </c>
      <c r="R8">
        <v>42.191000000000003</v>
      </c>
      <c r="S8">
        <v>25886.612000000001</v>
      </c>
      <c r="T8" s="1">
        <f t="shared" si="0"/>
        <v>0.48895158624852109</v>
      </c>
      <c r="U8" s="1">
        <f t="shared" si="1"/>
        <v>0.32596772416568071</v>
      </c>
      <c r="V8" s="1">
        <f t="shared" si="2"/>
        <v>0.48895158624852109</v>
      </c>
      <c r="W8" s="1">
        <f t="shared" si="3"/>
        <v>0.48895158624852109</v>
      </c>
      <c r="X8" s="1">
        <f t="shared" si="4"/>
        <v>0.48895158624852109</v>
      </c>
      <c r="Y8" s="1">
        <f t="shared" si="20"/>
        <v>0</v>
      </c>
      <c r="Z8" s="1">
        <f t="shared" si="21"/>
        <v>0.32596772416568071</v>
      </c>
      <c r="AA8" s="1">
        <f t="shared" si="5"/>
        <v>0.48895158624852109</v>
      </c>
      <c r="AB8" s="1">
        <f t="shared" si="6"/>
        <v>0.32596772416568071</v>
      </c>
      <c r="AC8" s="1">
        <f t="shared" si="7"/>
        <v>0.32596772416568071</v>
      </c>
      <c r="AD8" s="1">
        <f t="shared" si="8"/>
        <v>0.32596772416568071</v>
      </c>
      <c r="AE8" s="1">
        <f t="shared" si="9"/>
        <v>0.48895158624852109</v>
      </c>
      <c r="AF8" s="1">
        <f t="shared" si="10"/>
        <v>0.48895158624852109</v>
      </c>
      <c r="AG8" s="1">
        <f t="shared" si="11"/>
        <v>0.48895158624852109</v>
      </c>
      <c r="AH8" s="1">
        <f t="shared" si="12"/>
        <v>0.16298386208284035</v>
      </c>
      <c r="AI8" s="1">
        <f t="shared" si="22"/>
        <v>0.40745965520710092</v>
      </c>
      <c r="AJ8" s="1">
        <f t="shared" si="23"/>
        <v>0.48895158624852109</v>
      </c>
      <c r="AK8" s="1">
        <f t="shared" si="24"/>
        <v>0.27163977013806728</v>
      </c>
      <c r="AL8" s="1">
        <f t="shared" si="25"/>
        <v>0.40745965520710092</v>
      </c>
      <c r="AM8" s="1">
        <f t="shared" si="26"/>
        <v>0.32596772416568071</v>
      </c>
      <c r="AN8" s="1">
        <f t="shared" si="27"/>
        <v>0.40745965520710092</v>
      </c>
      <c r="AO8" s="1">
        <f t="shared" si="28"/>
        <v>0.38029567819329418</v>
      </c>
    </row>
    <row r="9" spans="1:41" x14ac:dyDescent="0.2">
      <c r="A9">
        <v>7</v>
      </c>
      <c r="B9" t="s">
        <v>21</v>
      </c>
      <c r="C9">
        <v>2</v>
      </c>
      <c r="D9">
        <v>2</v>
      </c>
      <c r="E9">
        <v>3</v>
      </c>
      <c r="F9">
        <v>3</v>
      </c>
      <c r="G9">
        <v>3</v>
      </c>
      <c r="H9">
        <v>3</v>
      </c>
      <c r="I9">
        <v>2</v>
      </c>
      <c r="J9">
        <v>2</v>
      </c>
      <c r="K9">
        <v>2</v>
      </c>
      <c r="L9">
        <v>2</v>
      </c>
      <c r="M9">
        <v>3</v>
      </c>
      <c r="N9">
        <v>3</v>
      </c>
      <c r="O9">
        <v>3</v>
      </c>
      <c r="P9">
        <v>1</v>
      </c>
      <c r="Q9">
        <v>1</v>
      </c>
      <c r="R9">
        <v>50.917000000000002</v>
      </c>
      <c r="S9">
        <v>25886.612000000001</v>
      </c>
      <c r="T9" s="1">
        <f t="shared" si="0"/>
        <v>0.39338481219558585</v>
      </c>
      <c r="U9" s="1">
        <f t="shared" si="1"/>
        <v>0.39338481219558585</v>
      </c>
      <c r="V9" s="1">
        <f t="shared" si="2"/>
        <v>0.59007721829337878</v>
      </c>
      <c r="W9" s="1">
        <f t="shared" si="3"/>
        <v>0.59007721829337878</v>
      </c>
      <c r="X9" s="1">
        <f t="shared" si="4"/>
        <v>0.59007721829337878</v>
      </c>
      <c r="Y9" s="1">
        <f t="shared" si="20"/>
        <v>0.59007721829337878</v>
      </c>
      <c r="Z9" s="1">
        <f t="shared" si="21"/>
        <v>0.39338481219558585</v>
      </c>
      <c r="AA9" s="1">
        <f t="shared" si="5"/>
        <v>0.39338481219558585</v>
      </c>
      <c r="AB9" s="1">
        <f t="shared" si="6"/>
        <v>0.39338481219558585</v>
      </c>
      <c r="AC9" s="1">
        <f t="shared" si="7"/>
        <v>0.39338481219558585</v>
      </c>
      <c r="AD9" s="1">
        <f t="shared" si="8"/>
        <v>0.59007721829337878</v>
      </c>
      <c r="AE9" s="1">
        <f t="shared" si="9"/>
        <v>0.59007721829337878</v>
      </c>
      <c r="AF9" s="1">
        <f t="shared" si="10"/>
        <v>0.59007721829337878</v>
      </c>
      <c r="AG9" s="1">
        <f t="shared" si="11"/>
        <v>0.19669240609779293</v>
      </c>
      <c r="AH9" s="1">
        <f t="shared" si="12"/>
        <v>0.19669240609779293</v>
      </c>
      <c r="AI9" s="1">
        <f t="shared" si="22"/>
        <v>0.39338481219558585</v>
      </c>
      <c r="AJ9" s="1">
        <f t="shared" si="23"/>
        <v>0.59007721829337878</v>
      </c>
      <c r="AK9" s="1">
        <f t="shared" si="24"/>
        <v>0.5245130829274478</v>
      </c>
      <c r="AL9" s="1">
        <f t="shared" si="25"/>
        <v>0.39338481219558585</v>
      </c>
      <c r="AM9" s="1">
        <f t="shared" si="26"/>
        <v>0.39338481219558585</v>
      </c>
      <c r="AN9" s="1">
        <f t="shared" si="27"/>
        <v>0.59007721829337878</v>
      </c>
      <c r="AO9" s="1">
        <f t="shared" si="28"/>
        <v>0.32782067682965488</v>
      </c>
    </row>
    <row r="10" spans="1:41" x14ac:dyDescent="0.2">
      <c r="A10">
        <v>8</v>
      </c>
      <c r="B10" t="s">
        <v>23</v>
      </c>
      <c r="C10">
        <v>2</v>
      </c>
      <c r="D10">
        <v>2</v>
      </c>
      <c r="E10">
        <v>2</v>
      </c>
      <c r="F10">
        <v>3</v>
      </c>
      <c r="G10">
        <v>1</v>
      </c>
      <c r="H10">
        <v>3</v>
      </c>
      <c r="I10">
        <v>2</v>
      </c>
      <c r="J10">
        <v>3</v>
      </c>
      <c r="K10">
        <v>2</v>
      </c>
      <c r="L10">
        <v>2</v>
      </c>
      <c r="M10">
        <v>2</v>
      </c>
      <c r="N10">
        <v>3</v>
      </c>
      <c r="O10">
        <v>0</v>
      </c>
      <c r="P10">
        <v>3</v>
      </c>
      <c r="Q10">
        <v>1</v>
      </c>
      <c r="R10">
        <v>40.798999999999999</v>
      </c>
      <c r="S10">
        <v>25886.612000000001</v>
      </c>
      <c r="T10" s="1">
        <f t="shared" si="0"/>
        <v>0.31521313024663095</v>
      </c>
      <c r="U10" s="1">
        <f t="shared" si="1"/>
        <v>0.31521313024663095</v>
      </c>
      <c r="V10" s="1">
        <f t="shared" si="2"/>
        <v>0.31521313024663095</v>
      </c>
      <c r="W10" s="1">
        <f t="shared" si="3"/>
        <v>0.47281969536994639</v>
      </c>
      <c r="X10" s="1">
        <f t="shared" si="4"/>
        <v>0.15760656512331547</v>
      </c>
      <c r="Y10" s="1">
        <f t="shared" si="20"/>
        <v>0.47281969536994639</v>
      </c>
      <c r="Z10" s="1">
        <f t="shared" si="21"/>
        <v>0.31521313024663095</v>
      </c>
      <c r="AA10" s="1">
        <f t="shared" si="5"/>
        <v>0.47281969536994639</v>
      </c>
      <c r="AB10" s="1">
        <f t="shared" si="6"/>
        <v>0.31521313024663095</v>
      </c>
      <c r="AC10" s="1">
        <f t="shared" si="7"/>
        <v>0.31521313024663095</v>
      </c>
      <c r="AD10" s="1">
        <f t="shared" si="8"/>
        <v>0.31521313024663095</v>
      </c>
      <c r="AE10" s="1">
        <f t="shared" si="9"/>
        <v>0.47281969536994639</v>
      </c>
      <c r="AF10" s="1">
        <f t="shared" si="10"/>
        <v>0</v>
      </c>
      <c r="AG10" s="1">
        <f t="shared" si="11"/>
        <v>0.47281969536994639</v>
      </c>
      <c r="AH10" s="1">
        <f t="shared" si="12"/>
        <v>0.15760656512331547</v>
      </c>
      <c r="AI10" s="1">
        <f t="shared" si="22"/>
        <v>0.31521313024663095</v>
      </c>
      <c r="AJ10" s="1">
        <f t="shared" si="23"/>
        <v>0.3940164128082887</v>
      </c>
      <c r="AK10" s="1">
        <f t="shared" si="24"/>
        <v>0.31521313024663095</v>
      </c>
      <c r="AL10" s="1">
        <f t="shared" si="25"/>
        <v>0.3940164128082887</v>
      </c>
      <c r="AM10" s="1">
        <f t="shared" si="26"/>
        <v>0.31521313024663095</v>
      </c>
      <c r="AN10" s="1">
        <f t="shared" si="27"/>
        <v>0.3940164128082887</v>
      </c>
      <c r="AO10" s="1">
        <f t="shared" si="28"/>
        <v>0.21014208683108729</v>
      </c>
    </row>
    <row r="11" spans="1:41" x14ac:dyDescent="0.2">
      <c r="A11">
        <v>9</v>
      </c>
      <c r="B11" t="s">
        <v>21</v>
      </c>
      <c r="C11">
        <v>2</v>
      </c>
      <c r="D11">
        <v>2</v>
      </c>
      <c r="E11">
        <v>3</v>
      </c>
      <c r="F11">
        <v>3</v>
      </c>
      <c r="G11">
        <v>3</v>
      </c>
      <c r="H11">
        <v>3</v>
      </c>
      <c r="I11">
        <v>1</v>
      </c>
      <c r="J11">
        <v>2</v>
      </c>
      <c r="K11">
        <v>2</v>
      </c>
      <c r="L11">
        <v>2</v>
      </c>
      <c r="M11">
        <v>1</v>
      </c>
      <c r="N11">
        <v>3</v>
      </c>
      <c r="O11">
        <v>3</v>
      </c>
      <c r="P11">
        <v>3</v>
      </c>
      <c r="Q11">
        <v>1</v>
      </c>
      <c r="R11">
        <v>137.476</v>
      </c>
      <c r="S11">
        <v>25886.612000000001</v>
      </c>
      <c r="T11" s="1">
        <f t="shared" si="0"/>
        <v>1.0621397655282196</v>
      </c>
      <c r="U11" s="1">
        <f t="shared" si="1"/>
        <v>1.0621397655282196</v>
      </c>
      <c r="V11" s="1">
        <f t="shared" si="2"/>
        <v>1.5932096482923295</v>
      </c>
      <c r="W11" s="1">
        <f t="shared" si="3"/>
        <v>1.5932096482923295</v>
      </c>
      <c r="X11" s="1">
        <f t="shared" si="4"/>
        <v>1.5932096482923295</v>
      </c>
      <c r="Y11" s="1">
        <f t="shared" si="20"/>
        <v>1.5932096482923295</v>
      </c>
      <c r="Z11" s="1">
        <f t="shared" si="21"/>
        <v>0.53106988276410982</v>
      </c>
      <c r="AA11" s="1">
        <f t="shared" si="5"/>
        <v>1.0621397655282196</v>
      </c>
      <c r="AB11" s="1">
        <f t="shared" si="6"/>
        <v>1.0621397655282196</v>
      </c>
      <c r="AC11" s="1">
        <f t="shared" si="7"/>
        <v>1.0621397655282196</v>
      </c>
      <c r="AD11" s="1">
        <f t="shared" si="8"/>
        <v>0.53106988276410982</v>
      </c>
      <c r="AE11" s="1">
        <f t="shared" si="9"/>
        <v>1.5932096482923295</v>
      </c>
      <c r="AF11" s="1">
        <f t="shared" si="10"/>
        <v>1.5932096482923295</v>
      </c>
      <c r="AG11" s="1">
        <f t="shared" si="11"/>
        <v>1.5932096482923295</v>
      </c>
      <c r="AH11" s="1">
        <f t="shared" si="12"/>
        <v>0.53106988276410982</v>
      </c>
      <c r="AI11" s="1">
        <f t="shared" si="22"/>
        <v>1.0621397655282196</v>
      </c>
      <c r="AJ11" s="1">
        <f t="shared" si="23"/>
        <v>1.5932096482923295</v>
      </c>
      <c r="AK11" s="1">
        <f t="shared" si="24"/>
        <v>1.2391630597829228</v>
      </c>
      <c r="AL11" s="1">
        <f t="shared" si="25"/>
        <v>1.0621397655282196</v>
      </c>
      <c r="AM11" s="1">
        <f t="shared" si="26"/>
        <v>1.0621397655282196</v>
      </c>
      <c r="AN11" s="1">
        <f t="shared" si="27"/>
        <v>1.0621397655282196</v>
      </c>
      <c r="AO11" s="1">
        <f t="shared" si="28"/>
        <v>1.2391630597829228</v>
      </c>
    </row>
    <row r="12" spans="1:41" x14ac:dyDescent="0.2">
      <c r="A12">
        <v>10</v>
      </c>
      <c r="B12" t="s">
        <v>22</v>
      </c>
      <c r="C12">
        <v>3</v>
      </c>
      <c r="D12">
        <v>2</v>
      </c>
      <c r="E12">
        <v>3</v>
      </c>
      <c r="F12">
        <v>3</v>
      </c>
      <c r="G12">
        <v>3</v>
      </c>
      <c r="H12">
        <v>3</v>
      </c>
      <c r="I12">
        <v>3</v>
      </c>
      <c r="J12">
        <v>3</v>
      </c>
      <c r="K12">
        <v>3</v>
      </c>
      <c r="L12">
        <v>2</v>
      </c>
      <c r="M12">
        <v>3</v>
      </c>
      <c r="N12">
        <v>2</v>
      </c>
      <c r="O12">
        <v>3</v>
      </c>
      <c r="P12">
        <v>1</v>
      </c>
      <c r="Q12">
        <v>1</v>
      </c>
      <c r="R12">
        <v>139.09</v>
      </c>
      <c r="S12">
        <v>25886.612000000001</v>
      </c>
      <c r="T12" s="1">
        <f t="shared" si="0"/>
        <v>1.6119142976299874</v>
      </c>
      <c r="U12" s="1">
        <f t="shared" si="1"/>
        <v>1.0746095317533249</v>
      </c>
      <c r="V12" s="1">
        <f t="shared" si="2"/>
        <v>1.6119142976299874</v>
      </c>
      <c r="W12" s="1">
        <f t="shared" si="3"/>
        <v>1.6119142976299874</v>
      </c>
      <c r="X12" s="1">
        <f t="shared" si="4"/>
        <v>1.6119142976299874</v>
      </c>
      <c r="Y12" s="1">
        <f t="shared" si="20"/>
        <v>1.6119142976299874</v>
      </c>
      <c r="Z12" s="1">
        <f t="shared" si="21"/>
        <v>1.6119142976299874</v>
      </c>
      <c r="AA12" s="1">
        <f t="shared" si="5"/>
        <v>1.6119142976299874</v>
      </c>
      <c r="AB12" s="1">
        <f t="shared" si="6"/>
        <v>1.6119142976299874</v>
      </c>
      <c r="AC12" s="1">
        <f t="shared" si="7"/>
        <v>1.0746095317533249</v>
      </c>
      <c r="AD12" s="1">
        <f t="shared" si="8"/>
        <v>1.6119142976299874</v>
      </c>
      <c r="AE12" s="1">
        <f t="shared" si="9"/>
        <v>1.0746095317533249</v>
      </c>
      <c r="AF12" s="1">
        <f t="shared" si="10"/>
        <v>1.6119142976299874</v>
      </c>
      <c r="AG12" s="1">
        <f t="shared" si="11"/>
        <v>0.53730476587666243</v>
      </c>
      <c r="AH12" s="1">
        <f t="shared" si="12"/>
        <v>0.53730476587666243</v>
      </c>
      <c r="AI12" s="1">
        <f t="shared" si="22"/>
        <v>1.3432619146916562</v>
      </c>
      <c r="AJ12" s="1">
        <f t="shared" si="23"/>
        <v>1.6119142976299874</v>
      </c>
      <c r="AK12" s="1">
        <f t="shared" si="24"/>
        <v>1.6119142976299876</v>
      </c>
      <c r="AL12" s="1">
        <f t="shared" si="25"/>
        <v>1.6119142976299874</v>
      </c>
      <c r="AM12" s="1">
        <f t="shared" si="26"/>
        <v>1.0746095317533249</v>
      </c>
      <c r="AN12" s="1">
        <f t="shared" si="27"/>
        <v>1.3432619146916562</v>
      </c>
      <c r="AO12" s="1">
        <f t="shared" si="28"/>
        <v>0.89550794312777071</v>
      </c>
    </row>
    <row r="13" spans="1:41" x14ac:dyDescent="0.2">
      <c r="A13">
        <v>11</v>
      </c>
      <c r="B13" t="s">
        <v>24</v>
      </c>
      <c r="C13">
        <v>3</v>
      </c>
      <c r="D13">
        <v>2</v>
      </c>
      <c r="E13">
        <v>3</v>
      </c>
      <c r="F13">
        <v>3</v>
      </c>
      <c r="G13">
        <v>1</v>
      </c>
      <c r="H13">
        <v>0</v>
      </c>
      <c r="I13">
        <v>1</v>
      </c>
      <c r="J13">
        <v>3</v>
      </c>
      <c r="K13">
        <v>2</v>
      </c>
      <c r="L13">
        <v>2</v>
      </c>
      <c r="M13">
        <v>2</v>
      </c>
      <c r="N13">
        <v>3</v>
      </c>
      <c r="O13">
        <v>3</v>
      </c>
      <c r="P13">
        <v>1</v>
      </c>
      <c r="Q13">
        <v>1</v>
      </c>
      <c r="R13">
        <v>46.875999999999998</v>
      </c>
      <c r="S13">
        <v>25886.612000000001</v>
      </c>
      <c r="T13" s="1">
        <f t="shared" si="0"/>
        <v>0.54324606093682704</v>
      </c>
      <c r="U13" s="1">
        <f t="shared" si="1"/>
        <v>0.36216404062455138</v>
      </c>
      <c r="V13" s="1">
        <f t="shared" si="2"/>
        <v>0.54324606093682704</v>
      </c>
      <c r="W13" s="1">
        <f t="shared" si="3"/>
        <v>0.54324606093682704</v>
      </c>
      <c r="X13" s="1">
        <f t="shared" si="4"/>
        <v>0.18108202031227569</v>
      </c>
      <c r="Y13" s="1">
        <f t="shared" si="20"/>
        <v>0</v>
      </c>
      <c r="Z13" s="1">
        <f t="shared" si="21"/>
        <v>0.18108202031227569</v>
      </c>
      <c r="AA13" s="1">
        <f t="shared" si="5"/>
        <v>0.54324606093682704</v>
      </c>
      <c r="AB13" s="1">
        <f t="shared" si="6"/>
        <v>0.36216404062455138</v>
      </c>
      <c r="AC13" s="1">
        <f t="shared" si="7"/>
        <v>0.36216404062455138</v>
      </c>
      <c r="AD13" s="1">
        <f t="shared" si="8"/>
        <v>0.36216404062455138</v>
      </c>
      <c r="AE13" s="1">
        <f t="shared" si="9"/>
        <v>0.54324606093682704</v>
      </c>
      <c r="AF13" s="1">
        <f t="shared" si="10"/>
        <v>0.54324606093682704</v>
      </c>
      <c r="AG13" s="1">
        <f t="shared" si="11"/>
        <v>0.18108202031227569</v>
      </c>
      <c r="AH13" s="1">
        <f t="shared" si="12"/>
        <v>0.18108202031227569</v>
      </c>
      <c r="AI13" s="1">
        <f t="shared" si="22"/>
        <v>0.45270505078068923</v>
      </c>
      <c r="AJ13" s="1">
        <f t="shared" si="23"/>
        <v>0.54324606093682704</v>
      </c>
      <c r="AK13" s="1">
        <f t="shared" si="24"/>
        <v>0.12072134687485046</v>
      </c>
      <c r="AL13" s="1">
        <f t="shared" si="25"/>
        <v>0.45270505078068923</v>
      </c>
      <c r="AM13" s="1">
        <f t="shared" si="26"/>
        <v>0.36216404062455138</v>
      </c>
      <c r="AN13" s="1">
        <f t="shared" si="27"/>
        <v>0.45270505078068923</v>
      </c>
      <c r="AO13" s="1">
        <f t="shared" si="28"/>
        <v>0.30180336718712614</v>
      </c>
    </row>
    <row r="14" spans="1:41" x14ac:dyDescent="0.2">
      <c r="A14">
        <v>12</v>
      </c>
      <c r="B14" t="s">
        <v>21</v>
      </c>
      <c r="C14">
        <v>2</v>
      </c>
      <c r="D14">
        <v>2</v>
      </c>
      <c r="E14">
        <v>3</v>
      </c>
      <c r="F14">
        <v>3</v>
      </c>
      <c r="G14">
        <v>3</v>
      </c>
      <c r="H14">
        <v>3</v>
      </c>
      <c r="I14">
        <v>1</v>
      </c>
      <c r="J14">
        <v>2</v>
      </c>
      <c r="K14">
        <v>2</v>
      </c>
      <c r="L14">
        <v>1</v>
      </c>
      <c r="M14">
        <v>1</v>
      </c>
      <c r="N14">
        <v>3</v>
      </c>
      <c r="O14">
        <v>3</v>
      </c>
      <c r="P14">
        <v>1</v>
      </c>
      <c r="Q14">
        <v>1</v>
      </c>
      <c r="R14">
        <v>87.085999999999999</v>
      </c>
      <c r="S14">
        <v>25886.612000000001</v>
      </c>
      <c r="T14" s="1">
        <f t="shared" si="0"/>
        <v>0.67282655605917063</v>
      </c>
      <c r="U14" s="1">
        <f t="shared" si="1"/>
        <v>0.67282655605917063</v>
      </c>
      <c r="V14" s="1">
        <f t="shared" si="2"/>
        <v>1.0092398340887558</v>
      </c>
      <c r="W14" s="1">
        <f t="shared" si="3"/>
        <v>1.0092398340887558</v>
      </c>
      <c r="X14" s="1">
        <f t="shared" si="4"/>
        <v>1.0092398340887558</v>
      </c>
      <c r="Y14" s="1">
        <f t="shared" si="20"/>
        <v>1.0092398340887558</v>
      </c>
      <c r="Z14" s="1">
        <f t="shared" si="21"/>
        <v>0.33641327802958532</v>
      </c>
      <c r="AA14" s="1">
        <f t="shared" si="5"/>
        <v>0.67282655605917063</v>
      </c>
      <c r="AB14" s="1">
        <f t="shared" si="6"/>
        <v>0.67282655605917063</v>
      </c>
      <c r="AC14" s="1">
        <f t="shared" si="7"/>
        <v>0.33641327802958532</v>
      </c>
      <c r="AD14" s="1">
        <f t="shared" si="8"/>
        <v>0.33641327802958532</v>
      </c>
      <c r="AE14" s="1">
        <f t="shared" si="9"/>
        <v>1.0092398340887558</v>
      </c>
      <c r="AF14" s="1">
        <f t="shared" si="10"/>
        <v>1.0092398340887558</v>
      </c>
      <c r="AG14" s="1">
        <f t="shared" si="11"/>
        <v>0.33641327802958532</v>
      </c>
      <c r="AH14" s="1">
        <f t="shared" si="12"/>
        <v>0.33641327802958532</v>
      </c>
      <c r="AI14" s="1">
        <f t="shared" si="22"/>
        <v>0.67282655605917063</v>
      </c>
      <c r="AJ14" s="1">
        <f t="shared" si="23"/>
        <v>1.0092398340887558</v>
      </c>
      <c r="AK14" s="1">
        <f t="shared" si="24"/>
        <v>0.78496431540236566</v>
      </c>
      <c r="AL14" s="1">
        <f t="shared" si="25"/>
        <v>0.67282655605917063</v>
      </c>
      <c r="AM14" s="1">
        <f t="shared" si="26"/>
        <v>0.33641327802958532</v>
      </c>
      <c r="AN14" s="1">
        <f t="shared" si="27"/>
        <v>0.67282655605917063</v>
      </c>
      <c r="AO14" s="1">
        <f t="shared" si="28"/>
        <v>0.5606887967159756</v>
      </c>
    </row>
    <row r="15" spans="1:41" x14ac:dyDescent="0.2">
      <c r="A15">
        <v>13</v>
      </c>
      <c r="B15" t="s">
        <v>25</v>
      </c>
      <c r="C15">
        <v>3</v>
      </c>
      <c r="D15">
        <v>2</v>
      </c>
      <c r="E15">
        <v>2</v>
      </c>
      <c r="F15">
        <v>3</v>
      </c>
      <c r="G15">
        <v>1</v>
      </c>
      <c r="H15">
        <v>0</v>
      </c>
      <c r="I15">
        <v>1</v>
      </c>
      <c r="J15">
        <v>2</v>
      </c>
      <c r="K15">
        <v>2</v>
      </c>
      <c r="L15">
        <v>3</v>
      </c>
      <c r="M15">
        <v>1</v>
      </c>
      <c r="N15">
        <v>3</v>
      </c>
      <c r="O15">
        <v>2</v>
      </c>
      <c r="P15">
        <v>3</v>
      </c>
      <c r="Q15">
        <v>1</v>
      </c>
      <c r="R15">
        <v>95.111999999999995</v>
      </c>
      <c r="S15">
        <v>25886.612000000001</v>
      </c>
      <c r="T15" s="1">
        <f t="shared" si="0"/>
        <v>1.1022531646860545</v>
      </c>
      <c r="U15" s="1">
        <f t="shared" si="1"/>
        <v>0.73483544312403637</v>
      </c>
      <c r="V15" s="1">
        <f t="shared" si="2"/>
        <v>0.73483544312403637</v>
      </c>
      <c r="W15" s="1">
        <f t="shared" si="3"/>
        <v>1.1022531646860545</v>
      </c>
      <c r="X15" s="1">
        <f t="shared" si="4"/>
        <v>0.36741772156201818</v>
      </c>
      <c r="Y15" s="1">
        <f t="shared" si="20"/>
        <v>0</v>
      </c>
      <c r="Z15" s="1">
        <f t="shared" si="21"/>
        <v>0.36741772156201818</v>
      </c>
      <c r="AA15" s="1">
        <f t="shared" si="5"/>
        <v>0.73483544312403637</v>
      </c>
      <c r="AB15" s="1">
        <f t="shared" si="6"/>
        <v>0.73483544312403637</v>
      </c>
      <c r="AC15" s="1">
        <f t="shared" si="7"/>
        <v>1.1022531646860545</v>
      </c>
      <c r="AD15" s="1">
        <f t="shared" si="8"/>
        <v>0.36741772156201818</v>
      </c>
      <c r="AE15" s="1">
        <f t="shared" si="9"/>
        <v>1.1022531646860545</v>
      </c>
      <c r="AF15" s="1">
        <f t="shared" si="10"/>
        <v>0.73483544312403637</v>
      </c>
      <c r="AG15" s="1">
        <f t="shared" si="11"/>
        <v>1.1022531646860545</v>
      </c>
      <c r="AH15" s="1">
        <f t="shared" si="12"/>
        <v>0.36741772156201818</v>
      </c>
      <c r="AI15" s="1">
        <f t="shared" si="22"/>
        <v>0.91854430390504538</v>
      </c>
      <c r="AJ15" s="1">
        <f t="shared" si="23"/>
        <v>0.91854430390504538</v>
      </c>
      <c r="AK15" s="1">
        <f t="shared" si="24"/>
        <v>0.24494514770801212</v>
      </c>
      <c r="AL15" s="1">
        <f t="shared" si="25"/>
        <v>0.73483544312403637</v>
      </c>
      <c r="AM15" s="1">
        <f t="shared" si="26"/>
        <v>1.1022531646860545</v>
      </c>
      <c r="AN15" s="1">
        <f t="shared" si="27"/>
        <v>0.73483544312403637</v>
      </c>
      <c r="AO15" s="1">
        <f t="shared" si="28"/>
        <v>0.73483544312403637</v>
      </c>
    </row>
    <row r="16" spans="1:41" x14ac:dyDescent="0.2">
      <c r="A16">
        <v>14</v>
      </c>
      <c r="B16" t="s">
        <v>26</v>
      </c>
      <c r="C16">
        <v>2</v>
      </c>
      <c r="D16">
        <v>2</v>
      </c>
      <c r="E16">
        <v>2</v>
      </c>
      <c r="F16">
        <v>3</v>
      </c>
      <c r="G16">
        <v>1</v>
      </c>
      <c r="H16">
        <v>3</v>
      </c>
      <c r="I16">
        <v>2</v>
      </c>
      <c r="J16">
        <v>2</v>
      </c>
      <c r="K16">
        <v>1</v>
      </c>
      <c r="L16">
        <v>1</v>
      </c>
      <c r="M16">
        <v>1</v>
      </c>
      <c r="N16">
        <v>3</v>
      </c>
      <c r="O16">
        <v>0</v>
      </c>
      <c r="P16">
        <v>1</v>
      </c>
      <c r="Q16">
        <v>0</v>
      </c>
      <c r="R16">
        <v>58.784999999999997</v>
      </c>
      <c r="S16">
        <v>25886.612000000001</v>
      </c>
      <c r="T16" s="1">
        <f t="shared" si="0"/>
        <v>0.45417299104262848</v>
      </c>
      <c r="U16" s="1">
        <f t="shared" si="1"/>
        <v>0.45417299104262848</v>
      </c>
      <c r="V16" s="1">
        <f t="shared" si="2"/>
        <v>0.45417299104262848</v>
      </c>
      <c r="W16" s="1">
        <f t="shared" si="3"/>
        <v>0.68125948656394275</v>
      </c>
      <c r="X16" s="1">
        <f t="shared" si="4"/>
        <v>0.22708649552131424</v>
      </c>
      <c r="Y16" s="1">
        <f t="shared" si="20"/>
        <v>0.68125948656394275</v>
      </c>
      <c r="Z16" s="1">
        <f t="shared" si="21"/>
        <v>0.45417299104262848</v>
      </c>
      <c r="AA16" s="1">
        <f t="shared" si="5"/>
        <v>0.45417299104262848</v>
      </c>
      <c r="AB16" s="1">
        <f t="shared" si="6"/>
        <v>0.22708649552131424</v>
      </c>
      <c r="AC16" s="1">
        <f t="shared" si="7"/>
        <v>0.22708649552131424</v>
      </c>
      <c r="AD16" s="1">
        <f t="shared" si="8"/>
        <v>0.22708649552131424</v>
      </c>
      <c r="AE16" s="1">
        <f t="shared" si="9"/>
        <v>0.68125948656394275</v>
      </c>
      <c r="AF16" s="1">
        <f t="shared" si="10"/>
        <v>0</v>
      </c>
      <c r="AG16" s="1">
        <f t="shared" si="11"/>
        <v>0.22708649552131424</v>
      </c>
      <c r="AH16" s="1">
        <f t="shared" si="12"/>
        <v>0</v>
      </c>
      <c r="AI16" s="1">
        <f t="shared" si="22"/>
        <v>0.45417299104262848</v>
      </c>
      <c r="AJ16" s="1">
        <f t="shared" si="23"/>
        <v>0.56771623880328559</v>
      </c>
      <c r="AK16" s="1">
        <f t="shared" si="24"/>
        <v>0.45417299104262848</v>
      </c>
      <c r="AL16" s="1">
        <f t="shared" si="25"/>
        <v>0.34062974328197138</v>
      </c>
      <c r="AM16" s="1">
        <f t="shared" si="26"/>
        <v>0.22708649552131424</v>
      </c>
      <c r="AN16" s="1">
        <f t="shared" si="27"/>
        <v>0.45417299104262848</v>
      </c>
      <c r="AO16" s="1">
        <f t="shared" si="28"/>
        <v>7.5695498507104747E-2</v>
      </c>
    </row>
    <row r="17" spans="1:41" x14ac:dyDescent="0.2">
      <c r="A17">
        <v>15</v>
      </c>
      <c r="B17" t="s">
        <v>21</v>
      </c>
      <c r="C17">
        <v>2</v>
      </c>
      <c r="D17">
        <v>2</v>
      </c>
      <c r="E17">
        <v>3</v>
      </c>
      <c r="F17">
        <v>3</v>
      </c>
      <c r="G17">
        <v>2</v>
      </c>
      <c r="H17">
        <v>3</v>
      </c>
      <c r="I17">
        <v>2</v>
      </c>
      <c r="J17">
        <v>2</v>
      </c>
      <c r="K17">
        <v>2</v>
      </c>
      <c r="L17">
        <v>1</v>
      </c>
      <c r="M17">
        <v>1</v>
      </c>
      <c r="N17">
        <v>3</v>
      </c>
      <c r="O17">
        <v>3</v>
      </c>
      <c r="P17">
        <v>3</v>
      </c>
      <c r="Q17">
        <v>2</v>
      </c>
      <c r="R17">
        <v>143.148</v>
      </c>
      <c r="S17">
        <v>25886.612000000001</v>
      </c>
      <c r="T17" s="1">
        <f t="shared" si="0"/>
        <v>1.1059616453477958</v>
      </c>
      <c r="U17" s="1">
        <f t="shared" si="1"/>
        <v>1.1059616453477958</v>
      </c>
      <c r="V17" s="1">
        <f t="shared" si="2"/>
        <v>1.6589424680216938</v>
      </c>
      <c r="W17" s="1">
        <f t="shared" si="3"/>
        <v>1.6589424680216938</v>
      </c>
      <c r="X17" s="1">
        <f t="shared" si="4"/>
        <v>1.1059616453477958</v>
      </c>
      <c r="Y17" s="1">
        <f t="shared" si="20"/>
        <v>1.6589424680216938</v>
      </c>
      <c r="Z17" s="1">
        <f t="shared" si="21"/>
        <v>1.1059616453477958</v>
      </c>
      <c r="AA17" s="1">
        <f t="shared" si="5"/>
        <v>1.1059616453477958</v>
      </c>
      <c r="AB17" s="1">
        <f t="shared" si="6"/>
        <v>1.1059616453477958</v>
      </c>
      <c r="AC17" s="1">
        <f t="shared" si="7"/>
        <v>0.55298082267389792</v>
      </c>
      <c r="AD17" s="1">
        <f t="shared" si="8"/>
        <v>0.55298082267389792</v>
      </c>
      <c r="AE17" s="1">
        <f t="shared" si="9"/>
        <v>1.6589424680216938</v>
      </c>
      <c r="AF17" s="1">
        <f t="shared" si="10"/>
        <v>1.6589424680216938</v>
      </c>
      <c r="AG17" s="1">
        <f t="shared" si="11"/>
        <v>1.6589424680216938</v>
      </c>
      <c r="AH17" s="1">
        <f t="shared" si="12"/>
        <v>1.1059616453477958</v>
      </c>
      <c r="AI17" s="1">
        <f t="shared" si="22"/>
        <v>1.1059616453477958</v>
      </c>
      <c r="AJ17" s="1">
        <f t="shared" si="23"/>
        <v>1.6589424680216938</v>
      </c>
      <c r="AK17" s="1">
        <f t="shared" si="24"/>
        <v>1.2902885862390951</v>
      </c>
      <c r="AL17" s="1">
        <f t="shared" si="25"/>
        <v>1.1059616453477958</v>
      </c>
      <c r="AM17" s="1">
        <f t="shared" si="26"/>
        <v>0.55298082267389792</v>
      </c>
      <c r="AN17" s="1">
        <f t="shared" si="27"/>
        <v>1.1059616453477958</v>
      </c>
      <c r="AO17" s="1">
        <f t="shared" si="28"/>
        <v>1.4746155271303945</v>
      </c>
    </row>
    <row r="18" spans="1:41" x14ac:dyDescent="0.2">
      <c r="A18">
        <v>16</v>
      </c>
      <c r="B18" t="s">
        <v>26</v>
      </c>
      <c r="C18">
        <v>3</v>
      </c>
      <c r="D18">
        <v>2</v>
      </c>
      <c r="E18">
        <v>3</v>
      </c>
      <c r="F18">
        <v>3</v>
      </c>
      <c r="G18">
        <v>1</v>
      </c>
      <c r="H18">
        <v>3</v>
      </c>
      <c r="I18">
        <v>1</v>
      </c>
      <c r="J18">
        <v>2</v>
      </c>
      <c r="K18">
        <v>1</v>
      </c>
      <c r="L18">
        <v>1</v>
      </c>
      <c r="M18">
        <v>2</v>
      </c>
      <c r="N18">
        <v>3</v>
      </c>
      <c r="O18">
        <v>0</v>
      </c>
      <c r="P18">
        <v>3</v>
      </c>
      <c r="Q18">
        <v>2</v>
      </c>
      <c r="R18">
        <v>52.954999999999998</v>
      </c>
      <c r="S18">
        <v>25886.612000000001</v>
      </c>
      <c r="T18" s="1">
        <f t="shared" si="0"/>
        <v>0.61369560450784366</v>
      </c>
      <c r="U18" s="1">
        <f t="shared" si="1"/>
        <v>0.40913040300522907</v>
      </c>
      <c r="V18" s="1">
        <f t="shared" si="2"/>
        <v>0.61369560450784366</v>
      </c>
      <c r="W18" s="1">
        <f t="shared" si="3"/>
        <v>0.61369560450784366</v>
      </c>
      <c r="X18" s="1">
        <f t="shared" si="4"/>
        <v>0.20456520150261454</v>
      </c>
      <c r="Y18" s="1">
        <f t="shared" si="20"/>
        <v>0.61369560450784366</v>
      </c>
      <c r="Z18" s="1">
        <f t="shared" si="21"/>
        <v>0.20456520150261454</v>
      </c>
      <c r="AA18" s="1">
        <f t="shared" si="5"/>
        <v>0.40913040300522907</v>
      </c>
      <c r="AB18" s="1">
        <f t="shared" si="6"/>
        <v>0.20456520150261454</v>
      </c>
      <c r="AC18" s="1">
        <f t="shared" si="7"/>
        <v>0.20456520150261454</v>
      </c>
      <c r="AD18" s="1">
        <f t="shared" si="8"/>
        <v>0.40913040300522907</v>
      </c>
      <c r="AE18" s="1">
        <f t="shared" si="9"/>
        <v>0.61369560450784366</v>
      </c>
      <c r="AF18" s="1">
        <f t="shared" si="10"/>
        <v>0</v>
      </c>
      <c r="AG18" s="1">
        <f t="shared" si="11"/>
        <v>0.61369560450784366</v>
      </c>
      <c r="AH18" s="1">
        <f t="shared" si="12"/>
        <v>0.40913040300522907</v>
      </c>
      <c r="AI18" s="1">
        <f t="shared" si="22"/>
        <v>0.51141300375653631</v>
      </c>
      <c r="AJ18" s="1">
        <f t="shared" si="23"/>
        <v>0.61369560450784366</v>
      </c>
      <c r="AK18" s="1">
        <f t="shared" si="24"/>
        <v>0.34094200250435752</v>
      </c>
      <c r="AL18" s="1">
        <f t="shared" si="25"/>
        <v>0.30684780225392183</v>
      </c>
      <c r="AM18" s="1">
        <f t="shared" si="26"/>
        <v>0.20456520150261454</v>
      </c>
      <c r="AN18" s="1">
        <f t="shared" si="27"/>
        <v>0.51141300375653631</v>
      </c>
      <c r="AO18" s="1">
        <f t="shared" si="28"/>
        <v>0.34094200250435752</v>
      </c>
    </row>
    <row r="19" spans="1:41" x14ac:dyDescent="0.2">
      <c r="A19">
        <v>17</v>
      </c>
      <c r="B19" t="s">
        <v>22</v>
      </c>
      <c r="C19">
        <v>3</v>
      </c>
      <c r="D19">
        <v>2</v>
      </c>
      <c r="E19">
        <v>3</v>
      </c>
      <c r="F19">
        <v>3</v>
      </c>
      <c r="G19">
        <v>3</v>
      </c>
      <c r="H19">
        <v>3</v>
      </c>
      <c r="I19">
        <v>1</v>
      </c>
      <c r="J19">
        <v>2</v>
      </c>
      <c r="K19">
        <v>1</v>
      </c>
      <c r="L19">
        <v>2</v>
      </c>
      <c r="M19">
        <v>2</v>
      </c>
      <c r="N19">
        <v>2</v>
      </c>
      <c r="O19">
        <v>0</v>
      </c>
      <c r="P19">
        <v>1</v>
      </c>
      <c r="Q19">
        <v>0</v>
      </c>
      <c r="R19">
        <v>77.116</v>
      </c>
      <c r="S19">
        <v>25886.612000000001</v>
      </c>
      <c r="T19" s="1">
        <f t="shared" si="0"/>
        <v>0.89369748347137901</v>
      </c>
      <c r="U19" s="1">
        <f t="shared" si="1"/>
        <v>0.59579832231425267</v>
      </c>
      <c r="V19" s="1">
        <f t="shared" si="2"/>
        <v>0.89369748347137901</v>
      </c>
      <c r="W19" s="1">
        <f t="shared" si="3"/>
        <v>0.89369748347137901</v>
      </c>
      <c r="X19" s="1">
        <f t="shared" si="4"/>
        <v>0.89369748347137901</v>
      </c>
      <c r="Y19" s="1">
        <f t="shared" si="20"/>
        <v>0.89369748347137901</v>
      </c>
      <c r="Z19" s="1">
        <f t="shared" si="21"/>
        <v>0.29789916115712634</v>
      </c>
      <c r="AA19" s="1">
        <f t="shared" si="5"/>
        <v>0.59579832231425267</v>
      </c>
      <c r="AB19" s="1">
        <f t="shared" si="6"/>
        <v>0.29789916115712634</v>
      </c>
      <c r="AC19" s="1">
        <f t="shared" si="7"/>
        <v>0.59579832231425267</v>
      </c>
      <c r="AD19" s="1">
        <f t="shared" si="8"/>
        <v>0.59579832231425267</v>
      </c>
      <c r="AE19" s="1">
        <f t="shared" si="9"/>
        <v>0.59579832231425267</v>
      </c>
      <c r="AF19" s="1">
        <f t="shared" si="10"/>
        <v>0</v>
      </c>
      <c r="AG19" s="1">
        <f t="shared" si="11"/>
        <v>0.29789916115712634</v>
      </c>
      <c r="AH19" s="1">
        <f t="shared" si="12"/>
        <v>0</v>
      </c>
      <c r="AI19" s="1">
        <f t="shared" si="22"/>
        <v>0.74474790289281589</v>
      </c>
      <c r="AJ19" s="1">
        <f t="shared" si="23"/>
        <v>0.89369748347137901</v>
      </c>
      <c r="AK19" s="1">
        <f t="shared" si="24"/>
        <v>0.69509804269996145</v>
      </c>
      <c r="AL19" s="1">
        <f t="shared" si="25"/>
        <v>0.4468487417356895</v>
      </c>
      <c r="AM19" s="1">
        <f t="shared" si="26"/>
        <v>0.59579832231425267</v>
      </c>
      <c r="AN19" s="1">
        <f t="shared" si="27"/>
        <v>0.59579832231425267</v>
      </c>
      <c r="AO19" s="1">
        <f t="shared" si="28"/>
        <v>9.9299720385708778E-2</v>
      </c>
    </row>
    <row r="20" spans="1:41" x14ac:dyDescent="0.2">
      <c r="A20">
        <v>18</v>
      </c>
      <c r="B20" t="s">
        <v>27</v>
      </c>
      <c r="C20">
        <v>1</v>
      </c>
      <c r="D20">
        <v>0</v>
      </c>
      <c r="E20">
        <v>3</v>
      </c>
      <c r="F20">
        <v>3</v>
      </c>
      <c r="G20">
        <v>1</v>
      </c>
      <c r="H20">
        <v>0</v>
      </c>
      <c r="I20">
        <v>0</v>
      </c>
      <c r="J20">
        <v>2</v>
      </c>
      <c r="K20">
        <v>1</v>
      </c>
      <c r="L20">
        <v>1</v>
      </c>
      <c r="M20">
        <v>1</v>
      </c>
      <c r="N20">
        <v>3</v>
      </c>
      <c r="O20">
        <v>0</v>
      </c>
      <c r="P20">
        <v>1</v>
      </c>
      <c r="Q20">
        <v>0</v>
      </c>
      <c r="R20">
        <v>52.930999999999997</v>
      </c>
      <c r="S20">
        <v>25886.612000000001</v>
      </c>
      <c r="T20" s="1">
        <f t="shared" si="0"/>
        <v>0.204472489486071</v>
      </c>
      <c r="U20" s="1">
        <f t="shared" si="1"/>
        <v>0</v>
      </c>
      <c r="V20" s="1">
        <f t="shared" si="2"/>
        <v>0.61341746845821299</v>
      </c>
      <c r="W20" s="1">
        <f t="shared" si="3"/>
        <v>0.61341746845821299</v>
      </c>
      <c r="X20" s="1">
        <f t="shared" si="4"/>
        <v>0.204472489486071</v>
      </c>
      <c r="Y20" s="1">
        <f t="shared" si="20"/>
        <v>0</v>
      </c>
      <c r="Z20" s="1">
        <f t="shared" si="21"/>
        <v>0</v>
      </c>
      <c r="AA20" s="1">
        <f t="shared" si="5"/>
        <v>0.40894497897214199</v>
      </c>
      <c r="AB20" s="1">
        <f t="shared" si="6"/>
        <v>0.204472489486071</v>
      </c>
      <c r="AC20" s="1">
        <f t="shared" si="7"/>
        <v>0.204472489486071</v>
      </c>
      <c r="AD20" s="1">
        <f t="shared" si="8"/>
        <v>0.204472489486071</v>
      </c>
      <c r="AE20" s="1">
        <f t="shared" si="9"/>
        <v>0.61341746845821299</v>
      </c>
      <c r="AF20" s="1">
        <f t="shared" si="10"/>
        <v>0</v>
      </c>
      <c r="AG20" s="1">
        <f t="shared" si="11"/>
        <v>0.204472489486071</v>
      </c>
      <c r="AH20" s="1">
        <f t="shared" si="12"/>
        <v>0</v>
      </c>
      <c r="AI20" s="1">
        <f t="shared" si="22"/>
        <v>0.1022362447430355</v>
      </c>
      <c r="AJ20" s="1">
        <f t="shared" si="23"/>
        <v>0.61341746845821299</v>
      </c>
      <c r="AK20" s="1">
        <f t="shared" si="24"/>
        <v>6.8157496495357003E-2</v>
      </c>
      <c r="AL20" s="1">
        <f t="shared" si="25"/>
        <v>0.30670873422910649</v>
      </c>
      <c r="AM20" s="1">
        <f t="shared" si="26"/>
        <v>0.204472489486071</v>
      </c>
      <c r="AN20" s="1">
        <f t="shared" si="27"/>
        <v>0.40894497897214199</v>
      </c>
      <c r="AO20" s="1">
        <f t="shared" si="28"/>
        <v>6.8157496495357003E-2</v>
      </c>
    </row>
    <row r="21" spans="1:41" x14ac:dyDescent="0.2">
      <c r="A21">
        <v>19</v>
      </c>
      <c r="B21" t="s">
        <v>21</v>
      </c>
      <c r="C21">
        <v>2</v>
      </c>
      <c r="D21">
        <v>2</v>
      </c>
      <c r="E21">
        <v>3</v>
      </c>
      <c r="F21">
        <v>3</v>
      </c>
      <c r="G21">
        <v>2</v>
      </c>
      <c r="H21">
        <v>3</v>
      </c>
      <c r="I21">
        <v>2</v>
      </c>
      <c r="J21">
        <v>2</v>
      </c>
      <c r="K21">
        <v>1</v>
      </c>
      <c r="L21">
        <v>1</v>
      </c>
      <c r="M21">
        <v>1</v>
      </c>
      <c r="N21">
        <v>3</v>
      </c>
      <c r="O21">
        <v>0</v>
      </c>
      <c r="P21">
        <v>1</v>
      </c>
      <c r="Q21">
        <v>0</v>
      </c>
      <c r="R21">
        <v>66.265000000000001</v>
      </c>
      <c r="S21">
        <v>25886.612000000001</v>
      </c>
      <c r="T21" s="1">
        <f t="shared" si="0"/>
        <v>0.51196348135476355</v>
      </c>
      <c r="U21" s="1">
        <f t="shared" si="1"/>
        <v>0.51196348135476355</v>
      </c>
      <c r="V21" s="1">
        <f t="shared" si="2"/>
        <v>0.76794522203214532</v>
      </c>
      <c r="W21" s="1">
        <f t="shared" si="3"/>
        <v>0.76794522203214532</v>
      </c>
      <c r="X21" s="1">
        <f t="shared" si="4"/>
        <v>0.51196348135476355</v>
      </c>
      <c r="Y21" s="1">
        <f t="shared" si="20"/>
        <v>0.76794522203214532</v>
      </c>
      <c r="Z21" s="1">
        <f t="shared" si="21"/>
        <v>0.51196348135476355</v>
      </c>
      <c r="AA21" s="1">
        <f t="shared" si="5"/>
        <v>0.51196348135476355</v>
      </c>
      <c r="AB21" s="1">
        <f t="shared" si="6"/>
        <v>0.25598174067738177</v>
      </c>
      <c r="AC21" s="1">
        <f t="shared" si="7"/>
        <v>0.25598174067738177</v>
      </c>
      <c r="AD21" s="1">
        <f t="shared" si="8"/>
        <v>0.25598174067738177</v>
      </c>
      <c r="AE21" s="1">
        <f t="shared" si="9"/>
        <v>0.76794522203214532</v>
      </c>
      <c r="AF21" s="1">
        <f t="shared" si="10"/>
        <v>0</v>
      </c>
      <c r="AG21" s="1">
        <f t="shared" si="11"/>
        <v>0.25598174067738177</v>
      </c>
      <c r="AH21" s="1">
        <f t="shared" si="12"/>
        <v>0</v>
      </c>
      <c r="AI21" s="1">
        <f t="shared" si="22"/>
        <v>0.51196348135476355</v>
      </c>
      <c r="AJ21" s="1">
        <f t="shared" si="23"/>
        <v>0.76794522203214532</v>
      </c>
      <c r="AK21" s="1">
        <f t="shared" si="24"/>
        <v>0.59729072824722418</v>
      </c>
      <c r="AL21" s="1">
        <f t="shared" si="25"/>
        <v>0.38397261101607266</v>
      </c>
      <c r="AM21" s="1">
        <f t="shared" si="26"/>
        <v>0.25598174067738177</v>
      </c>
      <c r="AN21" s="1">
        <f t="shared" si="27"/>
        <v>0.51196348135476355</v>
      </c>
      <c r="AO21" s="1">
        <f t="shared" si="28"/>
        <v>8.5327246892460587E-2</v>
      </c>
    </row>
    <row r="22" spans="1:41" x14ac:dyDescent="0.2">
      <c r="A22">
        <v>20</v>
      </c>
      <c r="B22" t="s">
        <v>27</v>
      </c>
      <c r="C22">
        <v>1</v>
      </c>
      <c r="D22">
        <v>0</v>
      </c>
      <c r="E22">
        <v>3</v>
      </c>
      <c r="F22">
        <v>3</v>
      </c>
      <c r="G22">
        <v>2</v>
      </c>
      <c r="H22">
        <v>2</v>
      </c>
      <c r="I22">
        <v>0</v>
      </c>
      <c r="J22">
        <v>2</v>
      </c>
      <c r="K22">
        <v>1</v>
      </c>
      <c r="L22">
        <v>1</v>
      </c>
      <c r="M22">
        <v>1</v>
      </c>
      <c r="N22">
        <v>3</v>
      </c>
      <c r="O22">
        <v>1</v>
      </c>
      <c r="P22">
        <v>1</v>
      </c>
      <c r="Q22">
        <v>1</v>
      </c>
      <c r="R22">
        <v>94.022999999999996</v>
      </c>
      <c r="S22">
        <v>25886.612000000001</v>
      </c>
      <c r="T22" s="1">
        <f t="shared" si="0"/>
        <v>0.3632109138113554</v>
      </c>
      <c r="U22" s="1">
        <f t="shared" si="1"/>
        <v>0</v>
      </c>
      <c r="V22" s="1">
        <f t="shared" si="2"/>
        <v>1.0896327414340661</v>
      </c>
      <c r="W22" s="1">
        <f t="shared" si="3"/>
        <v>1.0896327414340661</v>
      </c>
      <c r="X22" s="1">
        <f t="shared" si="4"/>
        <v>0.72642182762271079</v>
      </c>
      <c r="Y22" s="1">
        <f t="shared" si="20"/>
        <v>0.72642182762271079</v>
      </c>
      <c r="Z22" s="1">
        <f t="shared" si="21"/>
        <v>0</v>
      </c>
      <c r="AA22" s="1">
        <f t="shared" si="5"/>
        <v>0.72642182762271079</v>
      </c>
      <c r="AB22" s="1">
        <f t="shared" si="6"/>
        <v>0.3632109138113554</v>
      </c>
      <c r="AC22" s="1">
        <f t="shared" si="7"/>
        <v>0.3632109138113554</v>
      </c>
      <c r="AD22" s="1">
        <f t="shared" si="8"/>
        <v>0.3632109138113554</v>
      </c>
      <c r="AE22" s="1">
        <f t="shared" si="9"/>
        <v>1.0896327414340661</v>
      </c>
      <c r="AF22" s="1">
        <f t="shared" si="10"/>
        <v>0.3632109138113554</v>
      </c>
      <c r="AG22" s="1">
        <f t="shared" si="11"/>
        <v>0.3632109138113554</v>
      </c>
      <c r="AH22" s="1">
        <f t="shared" si="12"/>
        <v>0.3632109138113554</v>
      </c>
      <c r="AI22" s="1">
        <f t="shared" si="22"/>
        <v>0.1816054569056777</v>
      </c>
      <c r="AJ22" s="1">
        <f t="shared" si="23"/>
        <v>1.0896327414340661</v>
      </c>
      <c r="AK22" s="1">
        <f t="shared" si="24"/>
        <v>0.48428121841514055</v>
      </c>
      <c r="AL22" s="1">
        <f t="shared" si="25"/>
        <v>0.54481637071703304</v>
      </c>
      <c r="AM22" s="1">
        <f t="shared" si="26"/>
        <v>0.3632109138113554</v>
      </c>
      <c r="AN22" s="1">
        <f t="shared" si="27"/>
        <v>0.72642182762271079</v>
      </c>
      <c r="AO22" s="1">
        <f t="shared" si="28"/>
        <v>0.36321091381135534</v>
      </c>
    </row>
    <row r="23" spans="1:41" x14ac:dyDescent="0.2">
      <c r="A23">
        <v>21</v>
      </c>
      <c r="B23" t="s">
        <v>22</v>
      </c>
      <c r="C23">
        <v>3</v>
      </c>
      <c r="D23">
        <v>2</v>
      </c>
      <c r="E23">
        <v>3</v>
      </c>
      <c r="F23">
        <v>3</v>
      </c>
      <c r="G23">
        <v>2</v>
      </c>
      <c r="H23">
        <v>3</v>
      </c>
      <c r="I23">
        <v>1</v>
      </c>
      <c r="J23">
        <v>2</v>
      </c>
      <c r="K23">
        <v>1</v>
      </c>
      <c r="L23">
        <v>2</v>
      </c>
      <c r="M23">
        <v>3</v>
      </c>
      <c r="N23">
        <v>2</v>
      </c>
      <c r="O23">
        <v>2</v>
      </c>
      <c r="P23">
        <v>2</v>
      </c>
      <c r="Q23">
        <v>0</v>
      </c>
      <c r="R23">
        <v>64.977000000000004</v>
      </c>
      <c r="S23">
        <v>25886.612000000001</v>
      </c>
      <c r="T23" s="1">
        <f t="shared" si="0"/>
        <v>0.7530185873686368</v>
      </c>
      <c r="U23" s="1">
        <f t="shared" si="1"/>
        <v>0.50201239157909117</v>
      </c>
      <c r="V23" s="1">
        <f t="shared" si="2"/>
        <v>0.7530185873686368</v>
      </c>
      <c r="W23" s="1">
        <f t="shared" si="3"/>
        <v>0.7530185873686368</v>
      </c>
      <c r="X23" s="1">
        <f t="shared" si="4"/>
        <v>0.50201239157909117</v>
      </c>
      <c r="Y23" s="1">
        <f t="shared" si="20"/>
        <v>0.7530185873686368</v>
      </c>
      <c r="Z23" s="1">
        <f t="shared" si="21"/>
        <v>0.25100619578954558</v>
      </c>
      <c r="AA23" s="1">
        <f t="shared" si="5"/>
        <v>0.50201239157909117</v>
      </c>
      <c r="AB23" s="1">
        <f t="shared" si="6"/>
        <v>0.25100619578954558</v>
      </c>
      <c r="AC23" s="1">
        <f t="shared" si="7"/>
        <v>0.50201239157909117</v>
      </c>
      <c r="AD23" s="1">
        <f t="shared" si="8"/>
        <v>0.7530185873686368</v>
      </c>
      <c r="AE23" s="1">
        <f t="shared" si="9"/>
        <v>0.50201239157909117</v>
      </c>
      <c r="AF23" s="1">
        <f t="shared" si="10"/>
        <v>0.50201239157909117</v>
      </c>
      <c r="AG23" s="1">
        <f t="shared" si="11"/>
        <v>0.50201239157909117</v>
      </c>
      <c r="AH23" s="1">
        <f t="shared" si="12"/>
        <v>0</v>
      </c>
      <c r="AI23" s="1">
        <f t="shared" si="22"/>
        <v>0.62751548947386393</v>
      </c>
      <c r="AJ23" s="1">
        <f t="shared" si="23"/>
        <v>0.7530185873686368</v>
      </c>
      <c r="AK23" s="1">
        <f t="shared" si="24"/>
        <v>0.50201239157909117</v>
      </c>
      <c r="AL23" s="1">
        <f t="shared" si="25"/>
        <v>0.3765092936843184</v>
      </c>
      <c r="AM23" s="1">
        <f t="shared" si="26"/>
        <v>0.50201239157909117</v>
      </c>
      <c r="AN23" s="1">
        <f t="shared" si="27"/>
        <v>0.62751548947386393</v>
      </c>
      <c r="AO23" s="1">
        <f t="shared" si="28"/>
        <v>0.33467492771939411</v>
      </c>
    </row>
    <row r="24" spans="1:41" x14ac:dyDescent="0.2">
      <c r="A24">
        <v>22</v>
      </c>
      <c r="B24" t="s">
        <v>28</v>
      </c>
      <c r="C24">
        <v>2</v>
      </c>
      <c r="D24">
        <v>2</v>
      </c>
      <c r="E24">
        <v>3</v>
      </c>
      <c r="F24">
        <v>3</v>
      </c>
      <c r="G24">
        <v>2</v>
      </c>
      <c r="H24">
        <v>1</v>
      </c>
      <c r="I24">
        <v>1</v>
      </c>
      <c r="J24">
        <v>2</v>
      </c>
      <c r="K24">
        <v>1</v>
      </c>
      <c r="L24">
        <v>1</v>
      </c>
      <c r="M24">
        <v>2</v>
      </c>
      <c r="N24">
        <v>2</v>
      </c>
      <c r="O24">
        <v>1</v>
      </c>
      <c r="P24">
        <v>0</v>
      </c>
      <c r="Q24">
        <v>2</v>
      </c>
      <c r="R24">
        <v>83.382000000000005</v>
      </c>
      <c r="S24">
        <v>25886.612000000001</v>
      </c>
      <c r="T24" s="1">
        <f t="shared" si="0"/>
        <v>0.64420944695273374</v>
      </c>
      <c r="U24" s="1">
        <f t="shared" si="1"/>
        <v>0.64420944695273374</v>
      </c>
      <c r="V24" s="1">
        <f t="shared" si="2"/>
        <v>0.96631417042910062</v>
      </c>
      <c r="W24" s="1">
        <f t="shared" si="3"/>
        <v>0.96631417042910062</v>
      </c>
      <c r="X24" s="1">
        <f t="shared" si="4"/>
        <v>0.64420944695273374</v>
      </c>
      <c r="Y24" s="1">
        <f t="shared" si="20"/>
        <v>0.32210472347636687</v>
      </c>
      <c r="Z24" s="1">
        <f t="shared" si="21"/>
        <v>0.32210472347636687</v>
      </c>
      <c r="AA24" s="1">
        <f t="shared" si="5"/>
        <v>0.64420944695273374</v>
      </c>
      <c r="AB24" s="1">
        <f t="shared" si="6"/>
        <v>0.32210472347636687</v>
      </c>
      <c r="AC24" s="1">
        <f t="shared" si="7"/>
        <v>0.32210472347636687</v>
      </c>
      <c r="AD24" s="1">
        <f t="shared" si="8"/>
        <v>0.64420944695273374</v>
      </c>
      <c r="AE24" s="1">
        <f t="shared" si="9"/>
        <v>0.64420944695273374</v>
      </c>
      <c r="AF24" s="1">
        <f t="shared" si="10"/>
        <v>0.32210472347636687</v>
      </c>
      <c r="AG24" s="1">
        <f t="shared" si="11"/>
        <v>0</v>
      </c>
      <c r="AH24" s="1">
        <f t="shared" si="12"/>
        <v>0.64420944695273374</v>
      </c>
      <c r="AI24" s="1">
        <f t="shared" si="22"/>
        <v>0.64420944695273374</v>
      </c>
      <c r="AJ24" s="1">
        <f t="shared" si="23"/>
        <v>0.96631417042910062</v>
      </c>
      <c r="AK24" s="1">
        <f t="shared" si="24"/>
        <v>0.42947296463515583</v>
      </c>
      <c r="AL24" s="1">
        <f t="shared" si="25"/>
        <v>0.48315708521455031</v>
      </c>
      <c r="AM24" s="1">
        <f t="shared" si="26"/>
        <v>0.32210472347636687</v>
      </c>
      <c r="AN24" s="1">
        <f t="shared" si="27"/>
        <v>0.64420944695273374</v>
      </c>
      <c r="AO24" s="1">
        <f t="shared" si="28"/>
        <v>0.32210472347636687</v>
      </c>
    </row>
    <row r="25" spans="1:41" x14ac:dyDescent="0.2">
      <c r="A25">
        <v>23</v>
      </c>
      <c r="B25" t="s">
        <v>29</v>
      </c>
      <c r="C25">
        <v>2</v>
      </c>
      <c r="D25">
        <v>2</v>
      </c>
      <c r="E25">
        <v>3</v>
      </c>
      <c r="F25">
        <v>3</v>
      </c>
      <c r="G25">
        <v>3</v>
      </c>
      <c r="H25">
        <v>2</v>
      </c>
      <c r="I25">
        <v>2</v>
      </c>
      <c r="J25">
        <v>1</v>
      </c>
      <c r="K25">
        <v>0</v>
      </c>
      <c r="L25">
        <v>1</v>
      </c>
      <c r="M25">
        <v>0</v>
      </c>
      <c r="N25">
        <v>1</v>
      </c>
      <c r="O25">
        <v>1</v>
      </c>
      <c r="P25">
        <v>1</v>
      </c>
      <c r="Q25">
        <v>0</v>
      </c>
      <c r="R25">
        <v>72.259</v>
      </c>
      <c r="S25">
        <v>25886.612000000001</v>
      </c>
      <c r="T25" s="1">
        <f t="shared" si="0"/>
        <v>0.55827313361825792</v>
      </c>
      <c r="U25" s="1">
        <f t="shared" si="1"/>
        <v>0.55827313361825792</v>
      </c>
      <c r="V25" s="1">
        <f t="shared" si="2"/>
        <v>0.83740970042738683</v>
      </c>
      <c r="W25" s="1">
        <f t="shared" si="3"/>
        <v>0.83740970042738683</v>
      </c>
      <c r="X25" s="1">
        <f t="shared" si="4"/>
        <v>0.83740970042738683</v>
      </c>
      <c r="Y25" s="1">
        <f t="shared" si="20"/>
        <v>0.55827313361825792</v>
      </c>
      <c r="Z25" s="1">
        <f t="shared" si="21"/>
        <v>0.55827313361825792</v>
      </c>
      <c r="AA25" s="1">
        <f t="shared" si="5"/>
        <v>0.27913656680912896</v>
      </c>
      <c r="AB25" s="1">
        <f t="shared" si="6"/>
        <v>0</v>
      </c>
      <c r="AC25" s="1">
        <f t="shared" si="7"/>
        <v>0.27913656680912896</v>
      </c>
      <c r="AD25" s="1">
        <f t="shared" si="8"/>
        <v>0</v>
      </c>
      <c r="AE25" s="1">
        <f t="shared" si="9"/>
        <v>0.27913656680912896</v>
      </c>
      <c r="AF25" s="1">
        <f t="shared" si="10"/>
        <v>0.27913656680912896</v>
      </c>
      <c r="AG25" s="1">
        <f t="shared" si="11"/>
        <v>0.27913656680912896</v>
      </c>
      <c r="AH25" s="1">
        <f t="shared" si="12"/>
        <v>0</v>
      </c>
      <c r="AI25" s="1">
        <f t="shared" si="22"/>
        <v>0.55827313361825792</v>
      </c>
      <c r="AJ25" s="1">
        <f t="shared" si="23"/>
        <v>0.83740970042738683</v>
      </c>
      <c r="AK25" s="1">
        <f t="shared" si="24"/>
        <v>0.65131865588796767</v>
      </c>
      <c r="AL25" s="1">
        <f t="shared" si="25"/>
        <v>0.13956828340456448</v>
      </c>
      <c r="AM25" s="1">
        <f t="shared" si="26"/>
        <v>0.27913656680912896</v>
      </c>
      <c r="AN25" s="1">
        <f t="shared" si="27"/>
        <v>0.13956828340456448</v>
      </c>
      <c r="AO25" s="1">
        <f t="shared" si="28"/>
        <v>0.1860910445394193</v>
      </c>
    </row>
    <row r="26" spans="1:41" x14ac:dyDescent="0.2">
      <c r="A26">
        <v>24</v>
      </c>
      <c r="B26" t="s">
        <v>30</v>
      </c>
      <c r="C26">
        <v>0</v>
      </c>
      <c r="D26">
        <v>2</v>
      </c>
      <c r="E26">
        <v>3</v>
      </c>
      <c r="F26">
        <v>3</v>
      </c>
      <c r="G26">
        <v>3</v>
      </c>
      <c r="H26">
        <v>1</v>
      </c>
      <c r="I26">
        <v>1</v>
      </c>
      <c r="J26">
        <v>2</v>
      </c>
      <c r="K26">
        <v>1</v>
      </c>
      <c r="L26">
        <v>1</v>
      </c>
      <c r="M26">
        <v>1</v>
      </c>
      <c r="N26">
        <v>2</v>
      </c>
      <c r="O26">
        <v>0</v>
      </c>
      <c r="P26">
        <v>1</v>
      </c>
      <c r="Q26">
        <v>2</v>
      </c>
      <c r="R26">
        <v>85.730999999999995</v>
      </c>
      <c r="S26">
        <v>25886.612000000001</v>
      </c>
      <c r="T26" s="1">
        <f t="shared" si="0"/>
        <v>0</v>
      </c>
      <c r="U26" s="1">
        <f t="shared" si="1"/>
        <v>0.66235782419112998</v>
      </c>
      <c r="V26" s="1">
        <f t="shared" si="2"/>
        <v>0.99353673628669492</v>
      </c>
      <c r="W26" s="1">
        <f t="shared" si="3"/>
        <v>0.99353673628669492</v>
      </c>
      <c r="X26" s="1">
        <f t="shared" si="4"/>
        <v>0.99353673628669492</v>
      </c>
      <c r="Y26" s="1">
        <f t="shared" si="20"/>
        <v>0.33117891209556499</v>
      </c>
      <c r="Z26" s="1">
        <f t="shared" si="21"/>
        <v>0.33117891209556499</v>
      </c>
      <c r="AA26" s="1">
        <f t="shared" si="5"/>
        <v>0.66235782419112998</v>
      </c>
      <c r="AB26" s="1">
        <f t="shared" si="6"/>
        <v>0.33117891209556499</v>
      </c>
      <c r="AC26" s="1">
        <f t="shared" si="7"/>
        <v>0.33117891209556499</v>
      </c>
      <c r="AD26" s="1">
        <f t="shared" si="8"/>
        <v>0.33117891209556499</v>
      </c>
      <c r="AE26" s="1">
        <f t="shared" si="9"/>
        <v>0.66235782419112998</v>
      </c>
      <c r="AF26" s="1">
        <f t="shared" si="10"/>
        <v>0</v>
      </c>
      <c r="AG26" s="1">
        <f t="shared" si="11"/>
        <v>0.33117891209556499</v>
      </c>
      <c r="AH26" s="1">
        <f t="shared" si="12"/>
        <v>0.66235782419112998</v>
      </c>
      <c r="AI26" s="1">
        <f t="shared" si="22"/>
        <v>0.33117891209556499</v>
      </c>
      <c r="AJ26" s="1">
        <f t="shared" si="23"/>
        <v>0.99353673628669492</v>
      </c>
      <c r="AK26" s="1">
        <f t="shared" si="24"/>
        <v>0.55196485349260838</v>
      </c>
      <c r="AL26" s="1">
        <f t="shared" si="25"/>
        <v>0.49676836814334746</v>
      </c>
      <c r="AM26" s="1">
        <f t="shared" si="26"/>
        <v>0.33117891209556499</v>
      </c>
      <c r="AN26" s="1">
        <f t="shared" si="27"/>
        <v>0.49676836814334746</v>
      </c>
      <c r="AO26" s="1">
        <f t="shared" si="28"/>
        <v>0.33117891209556499</v>
      </c>
    </row>
    <row r="27" spans="1:41" x14ac:dyDescent="0.2">
      <c r="A27">
        <v>25</v>
      </c>
      <c r="B27" t="s">
        <v>31</v>
      </c>
      <c r="C27">
        <v>2</v>
      </c>
      <c r="D27">
        <v>2</v>
      </c>
      <c r="E27">
        <v>3</v>
      </c>
      <c r="F27">
        <v>3</v>
      </c>
      <c r="G27">
        <v>3</v>
      </c>
      <c r="H27">
        <v>0</v>
      </c>
      <c r="I27">
        <v>2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57.000999999999998</v>
      </c>
      <c r="S27">
        <v>25886.612000000001</v>
      </c>
      <c r="T27" s="1">
        <f t="shared" si="0"/>
        <v>0.44038980458315669</v>
      </c>
      <c r="U27" s="1">
        <f t="shared" si="1"/>
        <v>0.44038980458315669</v>
      </c>
      <c r="V27" s="1">
        <f t="shared" si="2"/>
        <v>0.66058470687473503</v>
      </c>
      <c r="W27" s="1">
        <f t="shared" si="3"/>
        <v>0.66058470687473503</v>
      </c>
      <c r="X27" s="1">
        <f t="shared" si="4"/>
        <v>0.66058470687473503</v>
      </c>
      <c r="Y27" s="1">
        <f t="shared" si="20"/>
        <v>0</v>
      </c>
      <c r="Z27" s="1">
        <f t="shared" si="21"/>
        <v>0.44038980458315669</v>
      </c>
      <c r="AA27" s="1">
        <f t="shared" si="5"/>
        <v>0.22019490229157834</v>
      </c>
      <c r="AB27" s="1">
        <f t="shared" si="6"/>
        <v>0.22019490229157834</v>
      </c>
      <c r="AC27" s="1">
        <f t="shared" si="7"/>
        <v>0.22019490229157834</v>
      </c>
      <c r="AD27" s="1">
        <f t="shared" si="8"/>
        <v>0.22019490229157834</v>
      </c>
      <c r="AE27" s="1">
        <f t="shared" si="9"/>
        <v>0.22019490229157834</v>
      </c>
      <c r="AF27" s="1">
        <f t="shared" si="10"/>
        <v>0.22019490229157834</v>
      </c>
      <c r="AG27" s="1">
        <f t="shared" si="11"/>
        <v>0.22019490229157834</v>
      </c>
      <c r="AH27" s="1">
        <f t="shared" si="12"/>
        <v>0</v>
      </c>
      <c r="AI27" s="1">
        <f t="shared" si="22"/>
        <v>0.44038980458315669</v>
      </c>
      <c r="AJ27" s="1">
        <f t="shared" si="23"/>
        <v>0.66058470687473503</v>
      </c>
      <c r="AK27" s="1">
        <f t="shared" si="24"/>
        <v>0.36699150381929724</v>
      </c>
      <c r="AL27" s="1">
        <f t="shared" si="25"/>
        <v>0.22019490229157834</v>
      </c>
      <c r="AM27" s="1">
        <f t="shared" si="26"/>
        <v>0.22019490229157834</v>
      </c>
      <c r="AN27" s="1">
        <f t="shared" si="27"/>
        <v>0.22019490229157834</v>
      </c>
      <c r="AO27" s="1">
        <f t="shared" si="28"/>
        <v>0.1467966015277189</v>
      </c>
    </row>
    <row r="28" spans="1:41" x14ac:dyDescent="0.2">
      <c r="A28">
        <v>26</v>
      </c>
      <c r="B28" t="s">
        <v>32</v>
      </c>
      <c r="C28">
        <v>2</v>
      </c>
      <c r="D28">
        <v>2</v>
      </c>
      <c r="E28">
        <v>3</v>
      </c>
      <c r="F28">
        <v>3</v>
      </c>
      <c r="G28">
        <v>3</v>
      </c>
      <c r="H28">
        <v>2</v>
      </c>
      <c r="I28">
        <v>1</v>
      </c>
      <c r="J28">
        <v>2</v>
      </c>
      <c r="K28">
        <v>1</v>
      </c>
      <c r="L28">
        <v>1</v>
      </c>
      <c r="M28">
        <v>1</v>
      </c>
      <c r="N28">
        <v>3</v>
      </c>
      <c r="O28">
        <v>0</v>
      </c>
      <c r="P28">
        <v>1</v>
      </c>
      <c r="Q28">
        <v>0</v>
      </c>
      <c r="R28">
        <v>96.058000000000007</v>
      </c>
      <c r="S28">
        <v>25886.612000000001</v>
      </c>
      <c r="T28" s="1">
        <f t="shared" si="0"/>
        <v>0.74214424042821836</v>
      </c>
      <c r="U28" s="1">
        <f t="shared" si="1"/>
        <v>0.74214424042821836</v>
      </c>
      <c r="V28" s="1">
        <f t="shared" si="2"/>
        <v>1.1132163606423275</v>
      </c>
      <c r="W28" s="1">
        <f t="shared" si="3"/>
        <v>1.1132163606423275</v>
      </c>
      <c r="X28" s="1">
        <f t="shared" si="4"/>
        <v>1.1132163606423275</v>
      </c>
      <c r="Y28" s="1">
        <f t="shared" si="20"/>
        <v>0.74214424042821836</v>
      </c>
      <c r="Z28" s="1">
        <f t="shared" si="21"/>
        <v>0.37107212021410918</v>
      </c>
      <c r="AA28" s="1">
        <f t="shared" si="5"/>
        <v>0.74214424042821836</v>
      </c>
      <c r="AB28" s="1">
        <f t="shared" si="6"/>
        <v>0.37107212021410918</v>
      </c>
      <c r="AC28" s="1">
        <f t="shared" si="7"/>
        <v>0.37107212021410918</v>
      </c>
      <c r="AD28" s="1">
        <f t="shared" si="8"/>
        <v>0.37107212021410918</v>
      </c>
      <c r="AE28" s="1">
        <f t="shared" si="9"/>
        <v>1.1132163606423275</v>
      </c>
      <c r="AF28" s="1">
        <f t="shared" si="10"/>
        <v>0</v>
      </c>
      <c r="AG28" s="1">
        <f t="shared" si="11"/>
        <v>0.37107212021410918</v>
      </c>
      <c r="AH28" s="1">
        <f t="shared" si="12"/>
        <v>0</v>
      </c>
      <c r="AI28" s="1">
        <f t="shared" si="22"/>
        <v>0.74214424042821836</v>
      </c>
      <c r="AJ28" s="1">
        <f t="shared" si="23"/>
        <v>1.1132163606423275</v>
      </c>
      <c r="AK28" s="1">
        <f t="shared" si="24"/>
        <v>0.74214424042821836</v>
      </c>
      <c r="AL28" s="1">
        <f t="shared" si="25"/>
        <v>0.55660818032116377</v>
      </c>
      <c r="AM28" s="1">
        <f t="shared" si="26"/>
        <v>0.37107212021410918</v>
      </c>
      <c r="AN28" s="1">
        <f t="shared" si="27"/>
        <v>0.74214424042821836</v>
      </c>
      <c r="AO28" s="1">
        <f t="shared" si="28"/>
        <v>0.12369070673803639</v>
      </c>
    </row>
    <row r="29" spans="1:41" x14ac:dyDescent="0.2">
      <c r="A29">
        <v>27</v>
      </c>
      <c r="B29" t="s">
        <v>22</v>
      </c>
      <c r="C29">
        <v>3</v>
      </c>
      <c r="D29">
        <v>2</v>
      </c>
      <c r="E29">
        <v>3</v>
      </c>
      <c r="F29">
        <v>3</v>
      </c>
      <c r="G29">
        <v>1</v>
      </c>
      <c r="H29">
        <v>3</v>
      </c>
      <c r="I29">
        <v>2</v>
      </c>
      <c r="J29">
        <v>2</v>
      </c>
      <c r="K29">
        <v>1</v>
      </c>
      <c r="L29">
        <v>2</v>
      </c>
      <c r="M29">
        <v>3</v>
      </c>
      <c r="N29">
        <v>3</v>
      </c>
      <c r="O29">
        <v>0</v>
      </c>
      <c r="P29">
        <v>3</v>
      </c>
      <c r="Q29">
        <v>0</v>
      </c>
      <c r="R29">
        <v>49.237000000000002</v>
      </c>
      <c r="S29">
        <v>25886.612000000001</v>
      </c>
      <c r="T29" s="1">
        <f t="shared" si="0"/>
        <v>0.57060769481923701</v>
      </c>
      <c r="U29" s="1">
        <f t="shared" si="1"/>
        <v>0.38040512987949132</v>
      </c>
      <c r="V29" s="1">
        <f t="shared" si="2"/>
        <v>0.57060769481923701</v>
      </c>
      <c r="W29" s="1">
        <f t="shared" si="3"/>
        <v>0.57060769481923701</v>
      </c>
      <c r="X29" s="1">
        <f t="shared" si="4"/>
        <v>0.19020256493974566</v>
      </c>
      <c r="Y29" s="1">
        <f t="shared" si="20"/>
        <v>0.57060769481923701</v>
      </c>
      <c r="Z29" s="1">
        <f t="shared" si="21"/>
        <v>0.38040512987949132</v>
      </c>
      <c r="AA29" s="1">
        <f t="shared" si="5"/>
        <v>0.38040512987949132</v>
      </c>
      <c r="AB29" s="1">
        <f t="shared" si="6"/>
        <v>0.19020256493974566</v>
      </c>
      <c r="AC29" s="1">
        <f t="shared" si="7"/>
        <v>0.38040512987949132</v>
      </c>
      <c r="AD29" s="1">
        <f t="shared" si="8"/>
        <v>0.57060769481923701</v>
      </c>
      <c r="AE29" s="1">
        <f t="shared" si="9"/>
        <v>0.57060769481923701</v>
      </c>
      <c r="AF29" s="1">
        <f t="shared" si="10"/>
        <v>0</v>
      </c>
      <c r="AG29" s="1">
        <f t="shared" si="11"/>
        <v>0.57060769481923701</v>
      </c>
      <c r="AH29" s="1">
        <f t="shared" si="12"/>
        <v>0</v>
      </c>
      <c r="AI29" s="1">
        <f t="shared" si="22"/>
        <v>0.47550641234936419</v>
      </c>
      <c r="AJ29" s="1">
        <f t="shared" si="23"/>
        <v>0.57060769481923701</v>
      </c>
      <c r="AK29" s="1">
        <f t="shared" si="24"/>
        <v>0.38040512987949132</v>
      </c>
      <c r="AL29" s="1">
        <f t="shared" si="25"/>
        <v>0.28530384740961851</v>
      </c>
      <c r="AM29" s="1">
        <f t="shared" si="26"/>
        <v>0.38040512987949132</v>
      </c>
      <c r="AN29" s="1">
        <f t="shared" si="27"/>
        <v>0.57060769481923701</v>
      </c>
      <c r="AO29" s="1">
        <f t="shared" si="28"/>
        <v>0.19020256493974566</v>
      </c>
    </row>
    <row r="30" spans="1:41" x14ac:dyDescent="0.2">
      <c r="A30">
        <v>28</v>
      </c>
      <c r="B30" t="s">
        <v>32</v>
      </c>
      <c r="C30">
        <v>2</v>
      </c>
      <c r="D30">
        <v>2</v>
      </c>
      <c r="E30">
        <v>3</v>
      </c>
      <c r="F30">
        <v>3</v>
      </c>
      <c r="G30">
        <v>3</v>
      </c>
      <c r="H30">
        <v>2</v>
      </c>
      <c r="I30">
        <v>0</v>
      </c>
      <c r="J30">
        <v>2</v>
      </c>
      <c r="K30">
        <v>1</v>
      </c>
      <c r="L30">
        <v>1</v>
      </c>
      <c r="M30">
        <v>1</v>
      </c>
      <c r="N30">
        <v>3</v>
      </c>
      <c r="O30">
        <v>1</v>
      </c>
      <c r="P30">
        <v>1</v>
      </c>
      <c r="Q30">
        <v>2</v>
      </c>
      <c r="R30">
        <v>100.121</v>
      </c>
      <c r="S30">
        <v>25886.612000000001</v>
      </c>
      <c r="T30" s="1">
        <f t="shared" si="0"/>
        <v>0.77353498402958254</v>
      </c>
      <c r="U30" s="1">
        <f t="shared" si="1"/>
        <v>0.77353498402958254</v>
      </c>
      <c r="V30" s="1">
        <f t="shared" si="2"/>
        <v>1.1603024760443739</v>
      </c>
      <c r="W30" s="1">
        <f t="shared" si="3"/>
        <v>1.1603024760443739</v>
      </c>
      <c r="X30" s="1">
        <f t="shared" si="4"/>
        <v>1.1603024760443739</v>
      </c>
      <c r="Y30" s="1">
        <f t="shared" si="20"/>
        <v>0.77353498402958254</v>
      </c>
      <c r="Z30" s="1">
        <f t="shared" si="21"/>
        <v>0</v>
      </c>
      <c r="AA30" s="1">
        <f t="shared" si="5"/>
        <v>0.77353498402958254</v>
      </c>
      <c r="AB30" s="1">
        <f t="shared" si="6"/>
        <v>0.38676749201479127</v>
      </c>
      <c r="AC30" s="1">
        <f t="shared" si="7"/>
        <v>0.38676749201479127</v>
      </c>
      <c r="AD30" s="1">
        <f t="shared" si="8"/>
        <v>0.38676749201479127</v>
      </c>
      <c r="AE30" s="1">
        <f t="shared" si="9"/>
        <v>1.1603024760443739</v>
      </c>
      <c r="AF30" s="1">
        <f t="shared" si="10"/>
        <v>0.38676749201479127</v>
      </c>
      <c r="AG30" s="1">
        <f t="shared" si="11"/>
        <v>0.38676749201479127</v>
      </c>
      <c r="AH30" s="1">
        <f t="shared" si="12"/>
        <v>0.77353498402958254</v>
      </c>
      <c r="AI30" s="1">
        <f t="shared" si="22"/>
        <v>0.77353498402958254</v>
      </c>
      <c r="AJ30" s="1">
        <f t="shared" si="23"/>
        <v>1.1603024760443739</v>
      </c>
      <c r="AK30" s="1">
        <f t="shared" si="24"/>
        <v>0.64461248669131876</v>
      </c>
      <c r="AL30" s="1">
        <f t="shared" si="25"/>
        <v>0.58015123802218693</v>
      </c>
      <c r="AM30" s="1">
        <f t="shared" si="26"/>
        <v>0.38676749201479127</v>
      </c>
      <c r="AN30" s="1">
        <f t="shared" si="27"/>
        <v>0.77353498402958254</v>
      </c>
      <c r="AO30" s="1">
        <f t="shared" si="28"/>
        <v>0.51568998935305499</v>
      </c>
    </row>
    <row r="31" spans="1:41" x14ac:dyDescent="0.2">
      <c r="A31">
        <v>29</v>
      </c>
      <c r="B31" t="s">
        <v>29</v>
      </c>
      <c r="C31">
        <v>2</v>
      </c>
      <c r="D31">
        <v>2</v>
      </c>
      <c r="E31">
        <v>2</v>
      </c>
      <c r="F31">
        <v>3</v>
      </c>
      <c r="G31">
        <v>3</v>
      </c>
      <c r="H31">
        <v>3</v>
      </c>
      <c r="I31">
        <v>2</v>
      </c>
      <c r="J31">
        <v>1</v>
      </c>
      <c r="K31">
        <v>1</v>
      </c>
      <c r="L31">
        <v>1</v>
      </c>
      <c r="M31">
        <v>1</v>
      </c>
      <c r="N31">
        <v>1</v>
      </c>
      <c r="O31">
        <v>2</v>
      </c>
      <c r="P31">
        <v>1</v>
      </c>
      <c r="Q31">
        <v>0</v>
      </c>
      <c r="R31">
        <v>45.98</v>
      </c>
      <c r="S31">
        <v>25886.612000000001</v>
      </c>
      <c r="T31" s="1">
        <f t="shared" si="0"/>
        <v>0.35524154338930097</v>
      </c>
      <c r="U31" s="1">
        <f t="shared" si="1"/>
        <v>0.35524154338930097</v>
      </c>
      <c r="V31" s="1">
        <f t="shared" si="2"/>
        <v>0.35524154338930097</v>
      </c>
      <c r="W31" s="1">
        <f t="shared" si="3"/>
        <v>0.53286231508395143</v>
      </c>
      <c r="X31" s="1">
        <f t="shared" si="4"/>
        <v>0.53286231508395143</v>
      </c>
      <c r="Y31" s="1">
        <f t="shared" si="20"/>
        <v>0.53286231508395143</v>
      </c>
      <c r="Z31" s="1">
        <f t="shared" si="21"/>
        <v>0.35524154338930097</v>
      </c>
      <c r="AA31" s="1">
        <f t="shared" si="5"/>
        <v>0.17762077169465049</v>
      </c>
      <c r="AB31" s="1">
        <f t="shared" si="6"/>
        <v>0.17762077169465049</v>
      </c>
      <c r="AC31" s="1">
        <f t="shared" si="7"/>
        <v>0.17762077169465049</v>
      </c>
      <c r="AD31" s="1">
        <f t="shared" si="8"/>
        <v>0.17762077169465049</v>
      </c>
      <c r="AE31" s="1">
        <f t="shared" si="9"/>
        <v>0.17762077169465049</v>
      </c>
      <c r="AF31" s="1">
        <f t="shared" si="10"/>
        <v>0.35524154338930097</v>
      </c>
      <c r="AG31" s="1">
        <f t="shared" si="11"/>
        <v>0.17762077169465049</v>
      </c>
      <c r="AH31" s="1">
        <f t="shared" si="12"/>
        <v>0</v>
      </c>
      <c r="AI31" s="1">
        <f t="shared" si="22"/>
        <v>0.35524154338930097</v>
      </c>
      <c r="AJ31" s="1">
        <f t="shared" si="23"/>
        <v>0.44405192923662617</v>
      </c>
      <c r="AK31" s="1">
        <f t="shared" si="24"/>
        <v>0.47365539118573463</v>
      </c>
      <c r="AL31" s="1">
        <f t="shared" si="25"/>
        <v>0.17762077169465049</v>
      </c>
      <c r="AM31" s="1">
        <f t="shared" si="26"/>
        <v>0.17762077169465049</v>
      </c>
      <c r="AN31" s="1">
        <f t="shared" si="27"/>
        <v>0.17762077169465049</v>
      </c>
      <c r="AO31" s="1">
        <f t="shared" si="28"/>
        <v>0.17762077169465049</v>
      </c>
    </row>
    <row r="32" spans="1:41" x14ac:dyDescent="0.2">
      <c r="A32">
        <v>30</v>
      </c>
      <c r="B32" t="s">
        <v>33</v>
      </c>
      <c r="C32">
        <v>2</v>
      </c>
      <c r="D32">
        <v>2</v>
      </c>
      <c r="E32">
        <v>3</v>
      </c>
      <c r="F32">
        <v>3</v>
      </c>
      <c r="G32">
        <v>3</v>
      </c>
      <c r="H32">
        <v>3</v>
      </c>
      <c r="I32">
        <v>3</v>
      </c>
      <c r="J32">
        <v>1</v>
      </c>
      <c r="K32">
        <v>1</v>
      </c>
      <c r="L32">
        <v>1</v>
      </c>
      <c r="M32">
        <v>3</v>
      </c>
      <c r="N32">
        <v>2</v>
      </c>
      <c r="O32">
        <v>0</v>
      </c>
      <c r="P32">
        <v>0</v>
      </c>
      <c r="Q32">
        <v>2</v>
      </c>
      <c r="R32">
        <v>117.325</v>
      </c>
      <c r="S32">
        <v>25886.612000000001</v>
      </c>
      <c r="T32" s="1">
        <f t="shared" si="0"/>
        <v>0.90645311174749321</v>
      </c>
      <c r="U32" s="1">
        <f t="shared" si="1"/>
        <v>0.90645311174749321</v>
      </c>
      <c r="V32" s="1">
        <f t="shared" si="2"/>
        <v>1.3596796676212399</v>
      </c>
      <c r="W32" s="1">
        <f t="shared" si="3"/>
        <v>1.3596796676212399</v>
      </c>
      <c r="X32" s="1">
        <f t="shared" si="4"/>
        <v>1.3596796676212399</v>
      </c>
      <c r="Y32" s="1">
        <f t="shared" si="20"/>
        <v>1.3596796676212399</v>
      </c>
      <c r="Z32" s="1">
        <f t="shared" si="21"/>
        <v>1.3596796676212399</v>
      </c>
      <c r="AA32" s="1">
        <f t="shared" si="5"/>
        <v>0.45322655587374661</v>
      </c>
      <c r="AB32" s="1">
        <f t="shared" si="6"/>
        <v>0.45322655587374661</v>
      </c>
      <c r="AC32" s="1">
        <f t="shared" si="7"/>
        <v>0.45322655587374661</v>
      </c>
      <c r="AD32" s="1">
        <f t="shared" si="8"/>
        <v>1.3596796676212399</v>
      </c>
      <c r="AE32" s="1">
        <f t="shared" si="9"/>
        <v>0.90645311174749321</v>
      </c>
      <c r="AF32" s="1">
        <f t="shared" si="10"/>
        <v>0</v>
      </c>
      <c r="AG32" s="1">
        <f t="shared" si="11"/>
        <v>0</v>
      </c>
      <c r="AH32" s="1">
        <f t="shared" si="12"/>
        <v>0.90645311174749321</v>
      </c>
      <c r="AI32" s="1">
        <f t="shared" si="22"/>
        <v>0.90645311174749321</v>
      </c>
      <c r="AJ32" s="1">
        <f t="shared" si="23"/>
        <v>1.3596796676212399</v>
      </c>
      <c r="AK32" s="1">
        <f t="shared" si="24"/>
        <v>1.3596796676212399</v>
      </c>
      <c r="AL32" s="1">
        <f t="shared" si="25"/>
        <v>0.45322655587374661</v>
      </c>
      <c r="AM32" s="1">
        <f t="shared" si="26"/>
        <v>0.45322655587374661</v>
      </c>
      <c r="AN32" s="1">
        <f t="shared" si="27"/>
        <v>1.1330663896843665</v>
      </c>
      <c r="AO32" s="1">
        <f t="shared" si="28"/>
        <v>0.30215103724916442</v>
      </c>
    </row>
    <row r="33" spans="1:41" x14ac:dyDescent="0.2">
      <c r="A33">
        <v>31</v>
      </c>
      <c r="B33" t="s">
        <v>22</v>
      </c>
      <c r="C33">
        <v>3</v>
      </c>
      <c r="D33">
        <v>2</v>
      </c>
      <c r="E33">
        <v>3</v>
      </c>
      <c r="F33">
        <v>3</v>
      </c>
      <c r="G33">
        <v>2</v>
      </c>
      <c r="H33">
        <v>3</v>
      </c>
      <c r="I33">
        <v>3</v>
      </c>
      <c r="J33">
        <v>2</v>
      </c>
      <c r="K33">
        <v>1</v>
      </c>
      <c r="L33">
        <v>2</v>
      </c>
      <c r="M33">
        <v>3</v>
      </c>
      <c r="N33">
        <v>2</v>
      </c>
      <c r="O33">
        <v>0</v>
      </c>
      <c r="P33">
        <v>1</v>
      </c>
      <c r="Q33">
        <v>2</v>
      </c>
      <c r="R33">
        <v>53.386000000000003</v>
      </c>
      <c r="S33">
        <v>25886.612000000001</v>
      </c>
      <c r="T33" s="1">
        <f t="shared" si="0"/>
        <v>0.61869046439912645</v>
      </c>
      <c r="U33" s="1">
        <f t="shared" si="1"/>
        <v>0.41246030959941765</v>
      </c>
      <c r="V33" s="1">
        <f t="shared" si="2"/>
        <v>0.61869046439912645</v>
      </c>
      <c r="W33" s="1">
        <f t="shared" si="3"/>
        <v>0.61869046439912645</v>
      </c>
      <c r="X33" s="1">
        <f t="shared" si="4"/>
        <v>0.41246030959941765</v>
      </c>
      <c r="Y33" s="1">
        <f t="shared" si="20"/>
        <v>0.61869046439912645</v>
      </c>
      <c r="Z33" s="1">
        <f t="shared" si="21"/>
        <v>0.61869046439912645</v>
      </c>
      <c r="AA33" s="1">
        <f t="shared" si="5"/>
        <v>0.41246030959941765</v>
      </c>
      <c r="AB33" s="1">
        <f t="shared" si="6"/>
        <v>0.20623015479970883</v>
      </c>
      <c r="AC33" s="1">
        <f t="shared" si="7"/>
        <v>0.41246030959941765</v>
      </c>
      <c r="AD33" s="1">
        <f t="shared" si="8"/>
        <v>0.61869046439912645</v>
      </c>
      <c r="AE33" s="1">
        <f t="shared" si="9"/>
        <v>0.41246030959941765</v>
      </c>
      <c r="AF33" s="1">
        <f t="shared" si="10"/>
        <v>0</v>
      </c>
      <c r="AG33" s="1">
        <f t="shared" si="11"/>
        <v>0.20623015479970883</v>
      </c>
      <c r="AH33" s="1">
        <f t="shared" si="12"/>
        <v>0.41246030959941765</v>
      </c>
      <c r="AI33" s="1">
        <f t="shared" si="22"/>
        <v>0.51557538699927208</v>
      </c>
      <c r="AJ33" s="1">
        <f t="shared" si="23"/>
        <v>0.61869046439912645</v>
      </c>
      <c r="AK33" s="1">
        <f t="shared" si="24"/>
        <v>0.54994707946589017</v>
      </c>
      <c r="AL33" s="1">
        <f t="shared" si="25"/>
        <v>0.30934523219956322</v>
      </c>
      <c r="AM33" s="1">
        <f t="shared" si="26"/>
        <v>0.41246030959941765</v>
      </c>
      <c r="AN33" s="1">
        <f t="shared" si="27"/>
        <v>0.51557538699927208</v>
      </c>
      <c r="AO33" s="1">
        <f t="shared" si="28"/>
        <v>0.20623015479970883</v>
      </c>
    </row>
    <row r="34" spans="1:41" x14ac:dyDescent="0.2">
      <c r="A34">
        <v>32</v>
      </c>
      <c r="B34" t="s">
        <v>27</v>
      </c>
      <c r="C34">
        <v>2</v>
      </c>
      <c r="D34">
        <v>0</v>
      </c>
      <c r="E34">
        <v>3</v>
      </c>
      <c r="F34">
        <v>3</v>
      </c>
      <c r="G34">
        <v>1</v>
      </c>
      <c r="H34">
        <v>1</v>
      </c>
      <c r="I34">
        <v>1</v>
      </c>
      <c r="J34">
        <v>1</v>
      </c>
      <c r="K34">
        <v>1</v>
      </c>
      <c r="L34">
        <v>0</v>
      </c>
      <c r="M34">
        <v>1</v>
      </c>
      <c r="N34">
        <v>2</v>
      </c>
      <c r="O34">
        <v>0</v>
      </c>
      <c r="P34">
        <v>1</v>
      </c>
      <c r="Q34">
        <v>0</v>
      </c>
      <c r="R34">
        <v>35.344000000000001</v>
      </c>
      <c r="S34">
        <v>25886.612000000001</v>
      </c>
      <c r="T34" s="1">
        <f t="shared" si="0"/>
        <v>0.27306779272621695</v>
      </c>
      <c r="U34" s="1">
        <f t="shared" si="1"/>
        <v>0</v>
      </c>
      <c r="V34" s="1">
        <f t="shared" si="2"/>
        <v>0.40960168908932543</v>
      </c>
      <c r="W34" s="1">
        <f t="shared" si="3"/>
        <v>0.40960168908932543</v>
      </c>
      <c r="X34" s="1">
        <f t="shared" si="4"/>
        <v>0.13653389636310848</v>
      </c>
      <c r="Y34" s="1">
        <f t="shared" si="20"/>
        <v>0.13653389636310848</v>
      </c>
      <c r="Z34" s="1">
        <f t="shared" si="21"/>
        <v>0.13653389636310848</v>
      </c>
      <c r="AA34" s="1">
        <f t="shared" si="5"/>
        <v>0.13653389636310848</v>
      </c>
      <c r="AB34" s="1">
        <f t="shared" si="6"/>
        <v>0.13653389636310848</v>
      </c>
      <c r="AC34" s="1">
        <f t="shared" si="7"/>
        <v>0</v>
      </c>
      <c r="AD34" s="1">
        <f t="shared" si="8"/>
        <v>0.13653389636310848</v>
      </c>
      <c r="AE34" s="1">
        <f t="shared" si="9"/>
        <v>0.27306779272621695</v>
      </c>
      <c r="AF34" s="1">
        <f t="shared" si="10"/>
        <v>0</v>
      </c>
      <c r="AG34" s="1">
        <f t="shared" si="11"/>
        <v>0.13653389636310848</v>
      </c>
      <c r="AH34" s="1">
        <f t="shared" si="12"/>
        <v>0</v>
      </c>
      <c r="AI34" s="1">
        <f t="shared" si="22"/>
        <v>0.13653389636310848</v>
      </c>
      <c r="AJ34" s="1">
        <f t="shared" si="23"/>
        <v>0.40960168908932543</v>
      </c>
      <c r="AK34" s="1">
        <f t="shared" si="24"/>
        <v>0.13653389636310848</v>
      </c>
      <c r="AL34" s="1">
        <f t="shared" si="25"/>
        <v>0.13653389636310848</v>
      </c>
      <c r="AM34" s="1">
        <f t="shared" si="26"/>
        <v>0</v>
      </c>
      <c r="AN34" s="1">
        <f t="shared" si="27"/>
        <v>0.20480084454466271</v>
      </c>
      <c r="AO34" s="1">
        <f t="shared" si="28"/>
        <v>4.5511298787702825E-2</v>
      </c>
    </row>
    <row r="35" spans="1:41" x14ac:dyDescent="0.2">
      <c r="A35">
        <v>33</v>
      </c>
      <c r="B35" t="s">
        <v>29</v>
      </c>
      <c r="C35">
        <v>1</v>
      </c>
      <c r="D35">
        <v>2</v>
      </c>
      <c r="E35">
        <v>3</v>
      </c>
      <c r="F35">
        <v>3</v>
      </c>
      <c r="G35">
        <v>2</v>
      </c>
      <c r="H35">
        <v>1</v>
      </c>
      <c r="I35">
        <v>1</v>
      </c>
      <c r="J35">
        <v>1</v>
      </c>
      <c r="K35">
        <v>0</v>
      </c>
      <c r="L35">
        <v>0</v>
      </c>
      <c r="M35">
        <v>2</v>
      </c>
      <c r="N35">
        <v>2</v>
      </c>
      <c r="O35">
        <v>0</v>
      </c>
      <c r="P35">
        <v>1</v>
      </c>
      <c r="Q35">
        <v>0</v>
      </c>
      <c r="R35">
        <v>51.569000000000003</v>
      </c>
      <c r="S35">
        <v>25886.612000000001</v>
      </c>
      <c r="T35" s="1">
        <f t="shared" si="0"/>
        <v>0.19921108254722558</v>
      </c>
      <c r="U35" s="1">
        <f t="shared" si="1"/>
        <v>0.39842216509445116</v>
      </c>
      <c r="V35" s="1">
        <f t="shared" si="2"/>
        <v>0.5976332476416768</v>
      </c>
      <c r="W35" s="1">
        <f t="shared" si="3"/>
        <v>0.5976332476416768</v>
      </c>
      <c r="X35" s="1">
        <f t="shared" si="4"/>
        <v>0.39842216509445116</v>
      </c>
      <c r="Y35" s="1">
        <f t="shared" si="20"/>
        <v>0.19921108254722558</v>
      </c>
      <c r="Z35" s="1">
        <f t="shared" si="21"/>
        <v>0.19921108254722558</v>
      </c>
      <c r="AA35" s="1">
        <f t="shared" si="5"/>
        <v>0.19921108254722558</v>
      </c>
      <c r="AB35" s="1">
        <f t="shared" si="6"/>
        <v>0</v>
      </c>
      <c r="AC35" s="1">
        <f t="shared" si="7"/>
        <v>0</v>
      </c>
      <c r="AD35" s="1">
        <f t="shared" si="8"/>
        <v>0.39842216509445116</v>
      </c>
      <c r="AE35" s="1">
        <f t="shared" si="9"/>
        <v>0.39842216509445116</v>
      </c>
      <c r="AF35" s="1">
        <f t="shared" si="10"/>
        <v>0</v>
      </c>
      <c r="AG35" s="1">
        <f t="shared" si="11"/>
        <v>0.19921108254722558</v>
      </c>
      <c r="AH35" s="1">
        <f t="shared" si="12"/>
        <v>0</v>
      </c>
      <c r="AI35" s="1">
        <f t="shared" si="22"/>
        <v>0.2988166238208384</v>
      </c>
      <c r="AJ35" s="1">
        <f t="shared" si="23"/>
        <v>0.5976332476416768</v>
      </c>
      <c r="AK35" s="1">
        <f t="shared" si="24"/>
        <v>0.26561477672963413</v>
      </c>
      <c r="AL35" s="1">
        <f t="shared" si="25"/>
        <v>9.9605541273612791E-2</v>
      </c>
      <c r="AM35" s="1">
        <f t="shared" si="26"/>
        <v>0</v>
      </c>
      <c r="AN35" s="1">
        <f t="shared" si="27"/>
        <v>0.39842216509445116</v>
      </c>
      <c r="AO35" s="1">
        <f t="shared" si="28"/>
        <v>6.6403694182408532E-2</v>
      </c>
    </row>
    <row r="36" spans="1:41" x14ac:dyDescent="0.2">
      <c r="A36">
        <v>34</v>
      </c>
      <c r="B36" t="s">
        <v>26</v>
      </c>
      <c r="C36">
        <v>2</v>
      </c>
      <c r="D36">
        <v>0</v>
      </c>
      <c r="E36">
        <v>3</v>
      </c>
      <c r="F36">
        <v>3</v>
      </c>
      <c r="G36">
        <v>1</v>
      </c>
      <c r="H36">
        <v>3</v>
      </c>
      <c r="I36">
        <v>0</v>
      </c>
      <c r="J36">
        <v>1</v>
      </c>
      <c r="K36">
        <v>1</v>
      </c>
      <c r="L36">
        <v>1</v>
      </c>
      <c r="M36">
        <v>2</v>
      </c>
      <c r="N36">
        <v>2</v>
      </c>
      <c r="O36">
        <v>0</v>
      </c>
      <c r="P36">
        <v>1</v>
      </c>
      <c r="Q36">
        <v>0</v>
      </c>
      <c r="R36">
        <v>50.768999999999998</v>
      </c>
      <c r="S36">
        <v>25886.612000000001</v>
      </c>
      <c r="T36" s="1">
        <f t="shared" si="0"/>
        <v>0.39224136399154896</v>
      </c>
      <c r="U36" s="1">
        <f t="shared" si="1"/>
        <v>0</v>
      </c>
      <c r="V36" s="1">
        <f t="shared" si="2"/>
        <v>0.58836204598732345</v>
      </c>
      <c r="W36" s="1">
        <f t="shared" si="3"/>
        <v>0.58836204598732345</v>
      </c>
      <c r="X36" s="1">
        <f t="shared" si="4"/>
        <v>0.19612068199577448</v>
      </c>
      <c r="Y36" s="1">
        <f t="shared" si="20"/>
        <v>0.58836204598732345</v>
      </c>
      <c r="Z36" s="1">
        <f t="shared" si="21"/>
        <v>0</v>
      </c>
      <c r="AA36" s="1">
        <f t="shared" si="5"/>
        <v>0.19612068199577448</v>
      </c>
      <c r="AB36" s="1">
        <f t="shared" si="6"/>
        <v>0.19612068199577448</v>
      </c>
      <c r="AC36" s="1">
        <f t="shared" si="7"/>
        <v>0.19612068199577448</v>
      </c>
      <c r="AD36" s="1">
        <f t="shared" si="8"/>
        <v>0.39224136399154896</v>
      </c>
      <c r="AE36" s="1">
        <f t="shared" si="9"/>
        <v>0.39224136399154896</v>
      </c>
      <c r="AF36" s="1">
        <f t="shared" si="10"/>
        <v>0</v>
      </c>
      <c r="AG36" s="1">
        <f t="shared" si="11"/>
        <v>0.19612068199577448</v>
      </c>
      <c r="AH36" s="1">
        <f t="shared" si="12"/>
        <v>0</v>
      </c>
      <c r="AI36" s="1">
        <f t="shared" si="22"/>
        <v>0.19612068199577448</v>
      </c>
      <c r="AJ36" s="1">
        <f t="shared" si="23"/>
        <v>0.58836204598732345</v>
      </c>
      <c r="AK36" s="1">
        <f t="shared" si="24"/>
        <v>0.26149424266103266</v>
      </c>
      <c r="AL36" s="1">
        <f t="shared" si="25"/>
        <v>0.19612068199577448</v>
      </c>
      <c r="AM36" s="1">
        <f t="shared" si="26"/>
        <v>0.19612068199577448</v>
      </c>
      <c r="AN36" s="1">
        <f t="shared" si="27"/>
        <v>0.39224136399154896</v>
      </c>
      <c r="AO36" s="1">
        <f t="shared" si="28"/>
        <v>6.5373560665258165E-2</v>
      </c>
    </row>
    <row r="37" spans="1:41" x14ac:dyDescent="0.2">
      <c r="A37">
        <v>35</v>
      </c>
      <c r="B37" t="s">
        <v>21</v>
      </c>
      <c r="C37">
        <v>1</v>
      </c>
      <c r="D37">
        <v>2</v>
      </c>
      <c r="E37">
        <v>3</v>
      </c>
      <c r="F37">
        <v>3</v>
      </c>
      <c r="G37">
        <v>3</v>
      </c>
      <c r="H37">
        <v>3</v>
      </c>
      <c r="I37">
        <v>2</v>
      </c>
      <c r="J37">
        <v>1</v>
      </c>
      <c r="K37">
        <v>1</v>
      </c>
      <c r="L37">
        <v>2</v>
      </c>
      <c r="M37">
        <v>1</v>
      </c>
      <c r="N37">
        <v>2</v>
      </c>
      <c r="O37">
        <v>0</v>
      </c>
      <c r="P37">
        <v>1</v>
      </c>
      <c r="Q37">
        <v>2</v>
      </c>
      <c r="R37">
        <v>60.737000000000002</v>
      </c>
      <c r="S37">
        <v>25886.612000000001</v>
      </c>
      <c r="T37" s="1">
        <f t="shared" si="0"/>
        <v>0.23462707286685486</v>
      </c>
      <c r="U37" s="1">
        <f t="shared" si="1"/>
        <v>0.46925414573370972</v>
      </c>
      <c r="V37" s="1">
        <f t="shared" si="2"/>
        <v>0.70388121860056452</v>
      </c>
      <c r="W37" s="1">
        <f t="shared" si="3"/>
        <v>0.70388121860056452</v>
      </c>
      <c r="X37" s="1">
        <f t="shared" si="4"/>
        <v>0.70388121860056452</v>
      </c>
      <c r="Y37" s="1">
        <f t="shared" si="20"/>
        <v>0.70388121860056452</v>
      </c>
      <c r="Z37" s="1">
        <f t="shared" si="21"/>
        <v>0.46925414573370972</v>
      </c>
      <c r="AA37" s="1">
        <f t="shared" si="5"/>
        <v>0.23462707286685486</v>
      </c>
      <c r="AB37" s="1">
        <f t="shared" si="6"/>
        <v>0.23462707286685486</v>
      </c>
      <c r="AC37" s="1">
        <f t="shared" si="7"/>
        <v>0.46925414573370972</v>
      </c>
      <c r="AD37" s="1">
        <f t="shared" si="8"/>
        <v>0.23462707286685486</v>
      </c>
      <c r="AE37" s="1">
        <f t="shared" si="9"/>
        <v>0.46925414573370972</v>
      </c>
      <c r="AF37" s="1">
        <f t="shared" si="10"/>
        <v>0</v>
      </c>
      <c r="AG37" s="1">
        <f t="shared" si="11"/>
        <v>0.23462707286685486</v>
      </c>
      <c r="AH37" s="1">
        <f t="shared" si="12"/>
        <v>0.46925414573370972</v>
      </c>
      <c r="AI37" s="1">
        <f t="shared" si="22"/>
        <v>0.35194060930028226</v>
      </c>
      <c r="AJ37" s="1">
        <f t="shared" si="23"/>
        <v>0.70388121860056452</v>
      </c>
      <c r="AK37" s="1">
        <f t="shared" si="24"/>
        <v>0.62567219431161292</v>
      </c>
      <c r="AL37" s="1">
        <f t="shared" si="25"/>
        <v>0.23462707286685486</v>
      </c>
      <c r="AM37" s="1">
        <f t="shared" si="26"/>
        <v>0.46925414573370972</v>
      </c>
      <c r="AN37" s="1">
        <f t="shared" si="27"/>
        <v>0.35194060930028226</v>
      </c>
      <c r="AO37" s="1">
        <f t="shared" si="28"/>
        <v>0.23462707286685483</v>
      </c>
    </row>
    <row r="38" spans="1:41" x14ac:dyDescent="0.2">
      <c r="A38">
        <v>36</v>
      </c>
      <c r="B38" t="s">
        <v>21</v>
      </c>
      <c r="C38">
        <v>2</v>
      </c>
      <c r="D38">
        <v>2</v>
      </c>
      <c r="E38">
        <v>3</v>
      </c>
      <c r="F38">
        <v>3</v>
      </c>
      <c r="G38">
        <v>3</v>
      </c>
      <c r="H38">
        <v>3</v>
      </c>
      <c r="I38">
        <v>1</v>
      </c>
      <c r="J38">
        <v>1</v>
      </c>
      <c r="K38">
        <v>2</v>
      </c>
      <c r="L38">
        <v>2</v>
      </c>
      <c r="M38">
        <v>2</v>
      </c>
      <c r="N38">
        <v>3</v>
      </c>
      <c r="O38">
        <v>3</v>
      </c>
      <c r="P38">
        <v>3</v>
      </c>
      <c r="Q38">
        <v>1</v>
      </c>
      <c r="R38">
        <v>200.964</v>
      </c>
      <c r="S38">
        <v>25886.612000000001</v>
      </c>
      <c r="T38" s="1">
        <f t="shared" si="0"/>
        <v>1.5526481410545343</v>
      </c>
      <c r="U38" s="1">
        <f t="shared" si="1"/>
        <v>1.5526481410545343</v>
      </c>
      <c r="V38" s="1">
        <f t="shared" si="2"/>
        <v>2.3289722115818012</v>
      </c>
      <c r="W38" s="1">
        <f t="shared" si="3"/>
        <v>2.3289722115818012</v>
      </c>
      <c r="X38" s="1">
        <f t="shared" si="4"/>
        <v>2.3289722115818012</v>
      </c>
      <c r="Y38" s="1">
        <f t="shared" si="20"/>
        <v>2.3289722115818012</v>
      </c>
      <c r="Z38" s="1">
        <f t="shared" si="21"/>
        <v>0.77632407052726715</v>
      </c>
      <c r="AA38" s="1">
        <f t="shared" si="5"/>
        <v>0.77632407052726715</v>
      </c>
      <c r="AB38" s="1">
        <f t="shared" si="6"/>
        <v>1.5526481410545343</v>
      </c>
      <c r="AC38" s="1">
        <f t="shared" si="7"/>
        <v>1.5526481410545343</v>
      </c>
      <c r="AD38" s="1">
        <f t="shared" si="8"/>
        <v>1.5526481410545343</v>
      </c>
      <c r="AE38" s="1">
        <f t="shared" si="9"/>
        <v>2.3289722115818012</v>
      </c>
      <c r="AF38" s="1">
        <f t="shared" si="10"/>
        <v>2.3289722115818012</v>
      </c>
      <c r="AG38" s="1">
        <f t="shared" si="11"/>
        <v>2.3289722115818012</v>
      </c>
      <c r="AH38" s="1">
        <f t="shared" si="12"/>
        <v>0.77632407052726715</v>
      </c>
      <c r="AI38" s="1">
        <f t="shared" si="22"/>
        <v>1.5526481410545343</v>
      </c>
      <c r="AJ38" s="1">
        <f t="shared" si="23"/>
        <v>2.3289722115818012</v>
      </c>
      <c r="AK38" s="1">
        <f t="shared" si="24"/>
        <v>1.81142283123029</v>
      </c>
      <c r="AL38" s="1">
        <f t="shared" si="25"/>
        <v>1.1644861057909006</v>
      </c>
      <c r="AM38" s="1">
        <f t="shared" si="26"/>
        <v>1.5526481410545343</v>
      </c>
      <c r="AN38" s="1">
        <f t="shared" si="27"/>
        <v>1.9408101763181678</v>
      </c>
      <c r="AO38" s="1">
        <f t="shared" si="28"/>
        <v>1.81142283123029</v>
      </c>
    </row>
    <row r="39" spans="1:41" x14ac:dyDescent="0.2">
      <c r="A39">
        <v>37</v>
      </c>
      <c r="B39" t="s">
        <v>34</v>
      </c>
      <c r="C39">
        <v>2</v>
      </c>
      <c r="D39">
        <v>2</v>
      </c>
      <c r="E39">
        <v>2</v>
      </c>
      <c r="F39">
        <v>3</v>
      </c>
      <c r="G39">
        <v>3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1</v>
      </c>
      <c r="O39">
        <v>3</v>
      </c>
      <c r="P39">
        <v>3</v>
      </c>
      <c r="Q39">
        <v>2</v>
      </c>
      <c r="R39">
        <v>159.059</v>
      </c>
      <c r="S39">
        <v>25886.612000000001</v>
      </c>
      <c r="T39" s="1">
        <f t="shared" si="0"/>
        <v>1.228890053283141</v>
      </c>
      <c r="U39" s="1">
        <f t="shared" si="1"/>
        <v>1.228890053283141</v>
      </c>
      <c r="V39" s="1">
        <f t="shared" si="2"/>
        <v>1.228890053283141</v>
      </c>
      <c r="W39" s="1">
        <f t="shared" si="3"/>
        <v>1.8433350799247115</v>
      </c>
      <c r="X39" s="1">
        <f t="shared" si="4"/>
        <v>1.8433350799247115</v>
      </c>
      <c r="Y39" s="1">
        <f t="shared" si="20"/>
        <v>0.61444502664157052</v>
      </c>
      <c r="Z39" s="1">
        <f t="shared" si="21"/>
        <v>0.61444502664157052</v>
      </c>
      <c r="AA39" s="1">
        <f t="shared" si="5"/>
        <v>0.61444502664157052</v>
      </c>
      <c r="AB39" s="1">
        <f t="shared" si="6"/>
        <v>0.61444502664157052</v>
      </c>
      <c r="AC39" s="1">
        <f t="shared" si="7"/>
        <v>0</v>
      </c>
      <c r="AD39" s="1">
        <f t="shared" si="8"/>
        <v>0.61444502664157052</v>
      </c>
      <c r="AE39" s="1">
        <f t="shared" si="9"/>
        <v>0.61444502664157052</v>
      </c>
      <c r="AF39" s="1">
        <f t="shared" si="10"/>
        <v>1.8433350799247115</v>
      </c>
      <c r="AG39" s="1">
        <f t="shared" si="11"/>
        <v>1.8433350799247115</v>
      </c>
      <c r="AH39" s="1">
        <f t="shared" si="12"/>
        <v>1.228890053283141</v>
      </c>
      <c r="AI39" s="1">
        <f t="shared" si="22"/>
        <v>1.228890053283141</v>
      </c>
      <c r="AJ39" s="1">
        <f t="shared" si="23"/>
        <v>1.5361125666039261</v>
      </c>
      <c r="AK39" s="1">
        <f t="shared" si="24"/>
        <v>1.0240750444026177</v>
      </c>
      <c r="AL39" s="1">
        <f t="shared" si="25"/>
        <v>0.61444502664157052</v>
      </c>
      <c r="AM39" s="1">
        <f t="shared" si="26"/>
        <v>0</v>
      </c>
      <c r="AN39" s="1">
        <f t="shared" si="27"/>
        <v>0.61444502664157052</v>
      </c>
      <c r="AO39" s="1">
        <f t="shared" si="28"/>
        <v>1.6385200710441881</v>
      </c>
    </row>
    <row r="40" spans="1:41" x14ac:dyDescent="0.2">
      <c r="A40">
        <v>38</v>
      </c>
      <c r="B40" t="s">
        <v>35</v>
      </c>
      <c r="C40">
        <v>1</v>
      </c>
      <c r="D40">
        <v>0</v>
      </c>
      <c r="E40">
        <v>3</v>
      </c>
      <c r="F40">
        <v>3</v>
      </c>
      <c r="G40">
        <v>1</v>
      </c>
      <c r="H40">
        <v>2</v>
      </c>
      <c r="I40">
        <v>0</v>
      </c>
      <c r="J40">
        <v>2</v>
      </c>
      <c r="K40">
        <v>2</v>
      </c>
      <c r="L40">
        <v>1</v>
      </c>
      <c r="M40">
        <v>2</v>
      </c>
      <c r="N40">
        <v>3</v>
      </c>
      <c r="O40">
        <v>0</v>
      </c>
      <c r="P40">
        <v>3</v>
      </c>
      <c r="Q40">
        <v>0</v>
      </c>
      <c r="R40">
        <v>56.097000000000001</v>
      </c>
      <c r="S40">
        <v>25886.612000000001</v>
      </c>
      <c r="T40" s="1">
        <f t="shared" si="0"/>
        <v>0.21670274966843864</v>
      </c>
      <c r="U40" s="1">
        <f t="shared" si="1"/>
        <v>0</v>
      </c>
      <c r="V40" s="1">
        <f t="shared" si="2"/>
        <v>0.65010824900531594</v>
      </c>
      <c r="W40" s="1">
        <f t="shared" si="3"/>
        <v>0.65010824900531594</v>
      </c>
      <c r="X40" s="1">
        <f t="shared" si="4"/>
        <v>0.21670274966843864</v>
      </c>
      <c r="Y40" s="1">
        <f t="shared" si="20"/>
        <v>0.43340549933687728</v>
      </c>
      <c r="Z40" s="1">
        <f t="shared" si="21"/>
        <v>0</v>
      </c>
      <c r="AA40" s="1">
        <f t="shared" si="5"/>
        <v>0.43340549933687728</v>
      </c>
      <c r="AB40" s="1">
        <f t="shared" si="6"/>
        <v>0.43340549933687728</v>
      </c>
      <c r="AC40" s="1">
        <f t="shared" si="7"/>
        <v>0.21670274966843864</v>
      </c>
      <c r="AD40" s="1">
        <f t="shared" si="8"/>
        <v>0.43340549933687728</v>
      </c>
      <c r="AE40" s="1">
        <f t="shared" si="9"/>
        <v>0.65010824900531594</v>
      </c>
      <c r="AF40" s="1">
        <f t="shared" si="10"/>
        <v>0</v>
      </c>
      <c r="AG40" s="1">
        <f t="shared" si="11"/>
        <v>0.65010824900531594</v>
      </c>
      <c r="AH40" s="1">
        <f t="shared" si="12"/>
        <v>0</v>
      </c>
      <c r="AI40" s="1">
        <f t="shared" si="22"/>
        <v>0.10835137483421932</v>
      </c>
      <c r="AJ40" s="1">
        <f t="shared" si="23"/>
        <v>0.65010824900531594</v>
      </c>
      <c r="AK40" s="1">
        <f t="shared" si="24"/>
        <v>0.21670274966843864</v>
      </c>
      <c r="AL40" s="1">
        <f t="shared" si="25"/>
        <v>0.43340549933687728</v>
      </c>
      <c r="AM40" s="1">
        <f t="shared" si="26"/>
        <v>0.21670274966843864</v>
      </c>
      <c r="AN40" s="1">
        <f t="shared" si="27"/>
        <v>0.54175687417109664</v>
      </c>
      <c r="AO40" s="1">
        <f t="shared" si="28"/>
        <v>0.21670274966843864</v>
      </c>
    </row>
    <row r="41" spans="1:41" x14ac:dyDescent="0.2">
      <c r="A41">
        <v>39</v>
      </c>
      <c r="B41" t="s">
        <v>36</v>
      </c>
      <c r="C41">
        <v>1</v>
      </c>
      <c r="D41">
        <v>2</v>
      </c>
      <c r="E41">
        <v>3</v>
      </c>
      <c r="F41">
        <v>3</v>
      </c>
      <c r="G41">
        <v>3</v>
      </c>
      <c r="H41">
        <v>3</v>
      </c>
      <c r="I41">
        <v>1</v>
      </c>
      <c r="J41">
        <v>1</v>
      </c>
      <c r="K41">
        <v>1</v>
      </c>
      <c r="L41">
        <v>0</v>
      </c>
      <c r="M41">
        <v>2</v>
      </c>
      <c r="N41">
        <v>3</v>
      </c>
      <c r="O41">
        <v>1</v>
      </c>
      <c r="P41">
        <v>1</v>
      </c>
      <c r="Q41">
        <v>2</v>
      </c>
      <c r="R41">
        <v>135.55500000000001</v>
      </c>
      <c r="S41">
        <v>25886.612000000001</v>
      </c>
      <c r="T41" s="1">
        <f t="shared" si="0"/>
        <v>0.52364905843993792</v>
      </c>
      <c r="U41" s="1">
        <f t="shared" si="1"/>
        <v>1.0472981168798758</v>
      </c>
      <c r="V41" s="1">
        <f t="shared" si="2"/>
        <v>1.5709471753198136</v>
      </c>
      <c r="W41" s="1">
        <f t="shared" si="3"/>
        <v>1.5709471753198136</v>
      </c>
      <c r="X41" s="1">
        <f t="shared" si="4"/>
        <v>1.5709471753198136</v>
      </c>
      <c r="Y41" s="1">
        <f t="shared" si="20"/>
        <v>1.5709471753198136</v>
      </c>
      <c r="Z41" s="1">
        <f t="shared" si="21"/>
        <v>0.52364905843993792</v>
      </c>
      <c r="AA41" s="1">
        <f t="shared" si="5"/>
        <v>0.52364905843993792</v>
      </c>
      <c r="AB41" s="1">
        <f t="shared" si="6"/>
        <v>0.52364905843993792</v>
      </c>
      <c r="AC41" s="1">
        <f t="shared" si="7"/>
        <v>0</v>
      </c>
      <c r="AD41" s="1">
        <f t="shared" si="8"/>
        <v>1.0472981168798758</v>
      </c>
      <c r="AE41" s="1">
        <f t="shared" si="9"/>
        <v>1.5709471753198136</v>
      </c>
      <c r="AF41" s="1">
        <f t="shared" si="10"/>
        <v>0.52364905843993792</v>
      </c>
      <c r="AG41" s="1">
        <f t="shared" si="11"/>
        <v>0.52364905843993792</v>
      </c>
      <c r="AH41" s="1">
        <f t="shared" si="12"/>
        <v>1.0472981168798758</v>
      </c>
      <c r="AI41" s="1">
        <f t="shared" si="22"/>
        <v>0.78547358765990682</v>
      </c>
      <c r="AJ41" s="1">
        <f t="shared" si="23"/>
        <v>1.5709471753198136</v>
      </c>
      <c r="AK41" s="1">
        <f t="shared" si="24"/>
        <v>1.2218478030265219</v>
      </c>
      <c r="AL41" s="1">
        <f t="shared" si="25"/>
        <v>0.52364905843993792</v>
      </c>
      <c r="AM41" s="1">
        <f t="shared" si="26"/>
        <v>0</v>
      </c>
      <c r="AN41" s="1">
        <f t="shared" si="27"/>
        <v>1.3091226460998446</v>
      </c>
      <c r="AO41" s="1">
        <f t="shared" si="28"/>
        <v>0.69819874458658393</v>
      </c>
    </row>
    <row r="42" spans="1:41" x14ac:dyDescent="0.2">
      <c r="A42">
        <v>40</v>
      </c>
      <c r="B42" t="s">
        <v>25</v>
      </c>
      <c r="C42">
        <v>1</v>
      </c>
      <c r="D42">
        <v>2</v>
      </c>
      <c r="E42">
        <v>3</v>
      </c>
      <c r="F42">
        <v>3</v>
      </c>
      <c r="G42">
        <v>3</v>
      </c>
      <c r="H42">
        <v>2</v>
      </c>
      <c r="I42">
        <v>1</v>
      </c>
      <c r="J42">
        <v>2</v>
      </c>
      <c r="K42">
        <v>2</v>
      </c>
      <c r="L42">
        <v>1</v>
      </c>
      <c r="M42">
        <v>1</v>
      </c>
      <c r="N42">
        <v>3</v>
      </c>
      <c r="O42">
        <v>0</v>
      </c>
      <c r="P42">
        <v>1</v>
      </c>
      <c r="Q42">
        <v>0</v>
      </c>
      <c r="R42">
        <v>49.975000000000001</v>
      </c>
      <c r="S42">
        <v>25886.612000000001</v>
      </c>
      <c r="T42" s="1">
        <f t="shared" si="0"/>
        <v>0.19305345944845931</v>
      </c>
      <c r="U42" s="1">
        <f t="shared" si="1"/>
        <v>0.38610691889691862</v>
      </c>
      <c r="V42" s="1">
        <f t="shared" si="2"/>
        <v>0.57916037834537792</v>
      </c>
      <c r="W42" s="1">
        <f t="shared" si="3"/>
        <v>0.57916037834537792</v>
      </c>
      <c r="X42" s="1">
        <f t="shared" si="4"/>
        <v>0.57916037834537792</v>
      </c>
      <c r="Y42" s="1">
        <f t="shared" si="20"/>
        <v>0.38610691889691862</v>
      </c>
      <c r="Z42" s="1">
        <f t="shared" si="21"/>
        <v>0.19305345944845931</v>
      </c>
      <c r="AA42" s="1">
        <f t="shared" si="5"/>
        <v>0.38610691889691862</v>
      </c>
      <c r="AB42" s="1">
        <f t="shared" si="6"/>
        <v>0.38610691889691862</v>
      </c>
      <c r="AC42" s="1">
        <f t="shared" si="7"/>
        <v>0.19305345944845931</v>
      </c>
      <c r="AD42" s="1">
        <f t="shared" si="8"/>
        <v>0.19305345944845931</v>
      </c>
      <c r="AE42" s="1">
        <f t="shared" si="9"/>
        <v>0.57916037834537792</v>
      </c>
      <c r="AF42" s="1">
        <f t="shared" si="10"/>
        <v>0</v>
      </c>
      <c r="AG42" s="1">
        <f t="shared" si="11"/>
        <v>0.19305345944845931</v>
      </c>
      <c r="AH42" s="1">
        <f t="shared" si="12"/>
        <v>0</v>
      </c>
      <c r="AI42" s="1">
        <f t="shared" si="22"/>
        <v>0.28958018917268896</v>
      </c>
      <c r="AJ42" s="1">
        <f t="shared" si="23"/>
        <v>0.57916037834537792</v>
      </c>
      <c r="AK42" s="1">
        <f t="shared" si="24"/>
        <v>0.38610691889691862</v>
      </c>
      <c r="AL42" s="1">
        <f t="shared" si="25"/>
        <v>0.38610691889691862</v>
      </c>
      <c r="AM42" s="1">
        <f t="shared" si="26"/>
        <v>0.19305345944845931</v>
      </c>
      <c r="AN42" s="1">
        <f t="shared" si="27"/>
        <v>0.38610691889691862</v>
      </c>
      <c r="AO42" s="1">
        <f t="shared" si="28"/>
        <v>6.4351153149486431E-2</v>
      </c>
    </row>
    <row r="43" spans="1:41" x14ac:dyDescent="0.2">
      <c r="A43">
        <v>41</v>
      </c>
      <c r="B43" t="s">
        <v>36</v>
      </c>
      <c r="C43">
        <v>1</v>
      </c>
      <c r="D43">
        <v>2</v>
      </c>
      <c r="E43">
        <v>3</v>
      </c>
      <c r="F43">
        <v>3</v>
      </c>
      <c r="G43">
        <v>3</v>
      </c>
      <c r="H43">
        <v>1</v>
      </c>
      <c r="I43">
        <v>0</v>
      </c>
      <c r="J43">
        <v>1</v>
      </c>
      <c r="K43">
        <v>1</v>
      </c>
      <c r="L43">
        <v>0</v>
      </c>
      <c r="M43">
        <v>3</v>
      </c>
      <c r="N43">
        <v>3</v>
      </c>
      <c r="O43">
        <v>0</v>
      </c>
      <c r="P43">
        <v>1</v>
      </c>
      <c r="Q43">
        <v>0</v>
      </c>
      <c r="R43">
        <v>88.149000000000001</v>
      </c>
      <c r="S43">
        <v>25886.612000000001</v>
      </c>
      <c r="T43" s="1">
        <f t="shared" si="0"/>
        <v>0.34051964776232591</v>
      </c>
      <c r="U43" s="1">
        <f t="shared" si="1"/>
        <v>0.68103929552465181</v>
      </c>
      <c r="V43" s="1">
        <f t="shared" si="2"/>
        <v>1.0215589432869776</v>
      </c>
      <c r="W43" s="1">
        <f t="shared" si="3"/>
        <v>1.0215589432869776</v>
      </c>
      <c r="X43" s="1">
        <f t="shared" si="4"/>
        <v>1.0215589432869776</v>
      </c>
      <c r="Y43" s="1">
        <f t="shared" si="20"/>
        <v>0.34051964776232591</v>
      </c>
      <c r="Z43" s="1">
        <f t="shared" si="21"/>
        <v>0</v>
      </c>
      <c r="AA43" s="1">
        <f t="shared" si="5"/>
        <v>0.34051964776232591</v>
      </c>
      <c r="AB43" s="1">
        <f t="shared" si="6"/>
        <v>0.34051964776232591</v>
      </c>
      <c r="AC43" s="1">
        <f t="shared" si="7"/>
        <v>0</v>
      </c>
      <c r="AD43" s="1">
        <f t="shared" si="8"/>
        <v>1.0215589432869776</v>
      </c>
      <c r="AE43" s="1">
        <f t="shared" si="9"/>
        <v>1.0215589432869776</v>
      </c>
      <c r="AF43" s="1">
        <f t="shared" si="10"/>
        <v>0</v>
      </c>
      <c r="AG43" s="1">
        <f t="shared" si="11"/>
        <v>0.34051964776232591</v>
      </c>
      <c r="AH43" s="1">
        <f t="shared" si="12"/>
        <v>0</v>
      </c>
      <c r="AI43" s="1">
        <f t="shared" si="22"/>
        <v>0.5107794716434888</v>
      </c>
      <c r="AJ43" s="1">
        <f t="shared" si="23"/>
        <v>1.0215589432869776</v>
      </c>
      <c r="AK43" s="1">
        <f t="shared" si="24"/>
        <v>0.45402619701643454</v>
      </c>
      <c r="AL43" s="1">
        <f t="shared" si="25"/>
        <v>0.34051964776232591</v>
      </c>
      <c r="AM43" s="1">
        <f t="shared" si="26"/>
        <v>0</v>
      </c>
      <c r="AN43" s="1">
        <f t="shared" si="27"/>
        <v>1.0215589432869776</v>
      </c>
      <c r="AO43" s="1">
        <f t="shared" si="28"/>
        <v>0.11350654925410864</v>
      </c>
    </row>
    <row r="44" spans="1:41" x14ac:dyDescent="0.2">
      <c r="A44">
        <v>42</v>
      </c>
      <c r="B44" t="s">
        <v>24</v>
      </c>
      <c r="C44">
        <v>1</v>
      </c>
      <c r="D44">
        <v>2</v>
      </c>
      <c r="E44">
        <v>3</v>
      </c>
      <c r="F44">
        <v>3</v>
      </c>
      <c r="G44">
        <v>2</v>
      </c>
      <c r="H44">
        <v>3</v>
      </c>
      <c r="I44">
        <v>0</v>
      </c>
      <c r="J44">
        <v>2</v>
      </c>
      <c r="K44">
        <v>2</v>
      </c>
      <c r="L44">
        <v>1</v>
      </c>
      <c r="M44">
        <v>2</v>
      </c>
      <c r="N44">
        <v>3</v>
      </c>
      <c r="O44">
        <v>0</v>
      </c>
      <c r="P44">
        <v>2</v>
      </c>
      <c r="Q44">
        <v>0</v>
      </c>
      <c r="R44">
        <v>53.463000000000001</v>
      </c>
      <c r="S44">
        <v>25886.612000000001</v>
      </c>
      <c r="T44" s="1">
        <f t="shared" si="0"/>
        <v>0.20652760585278598</v>
      </c>
      <c r="U44" s="1">
        <f t="shared" si="1"/>
        <v>0.41305521170557197</v>
      </c>
      <c r="V44" s="1">
        <f t="shared" si="2"/>
        <v>0.61958281755835798</v>
      </c>
      <c r="W44" s="1">
        <f t="shared" si="3"/>
        <v>0.61958281755835798</v>
      </c>
      <c r="X44" s="1">
        <f t="shared" si="4"/>
        <v>0.41305521170557197</v>
      </c>
      <c r="Y44" s="1">
        <f t="shared" si="20"/>
        <v>0.61958281755835798</v>
      </c>
      <c r="Z44" s="1">
        <f t="shared" si="21"/>
        <v>0</v>
      </c>
      <c r="AA44" s="1">
        <f t="shared" si="5"/>
        <v>0.41305521170557197</v>
      </c>
      <c r="AB44" s="1">
        <f t="shared" si="6"/>
        <v>0.41305521170557197</v>
      </c>
      <c r="AC44" s="1">
        <f t="shared" si="7"/>
        <v>0.20652760585278598</v>
      </c>
      <c r="AD44" s="1">
        <f t="shared" si="8"/>
        <v>0.41305521170557197</v>
      </c>
      <c r="AE44" s="1">
        <f t="shared" si="9"/>
        <v>0.61958281755835798</v>
      </c>
      <c r="AF44" s="1">
        <f t="shared" si="10"/>
        <v>0</v>
      </c>
      <c r="AG44" s="1">
        <f t="shared" si="11"/>
        <v>0.41305521170557197</v>
      </c>
      <c r="AH44" s="1">
        <f t="shared" si="12"/>
        <v>0</v>
      </c>
      <c r="AI44" s="1">
        <f t="shared" si="22"/>
        <v>0.30979140877917899</v>
      </c>
      <c r="AJ44" s="1">
        <f t="shared" si="23"/>
        <v>0.61958281755835798</v>
      </c>
      <c r="AK44" s="1">
        <f t="shared" si="24"/>
        <v>0.34421267642130998</v>
      </c>
      <c r="AL44" s="1">
        <f t="shared" si="25"/>
        <v>0.41305521170557197</v>
      </c>
      <c r="AM44" s="1">
        <f t="shared" si="26"/>
        <v>0.20652760585278598</v>
      </c>
      <c r="AN44" s="1">
        <f t="shared" si="27"/>
        <v>0.51631901463196495</v>
      </c>
      <c r="AO44" s="1">
        <f t="shared" si="28"/>
        <v>0.137685070568524</v>
      </c>
    </row>
    <row r="45" spans="1:41" x14ac:dyDescent="0.2">
      <c r="A45">
        <v>43</v>
      </c>
      <c r="B45" t="s">
        <v>21</v>
      </c>
      <c r="C45">
        <v>3</v>
      </c>
      <c r="D45">
        <v>2</v>
      </c>
      <c r="E45">
        <v>3</v>
      </c>
      <c r="F45">
        <v>3</v>
      </c>
      <c r="G45">
        <v>3</v>
      </c>
      <c r="H45">
        <v>3</v>
      </c>
      <c r="I45">
        <v>2</v>
      </c>
      <c r="J45">
        <v>2</v>
      </c>
      <c r="K45">
        <v>2</v>
      </c>
      <c r="L45">
        <v>2</v>
      </c>
      <c r="M45">
        <v>2</v>
      </c>
      <c r="N45">
        <v>3</v>
      </c>
      <c r="O45">
        <v>3</v>
      </c>
      <c r="P45">
        <v>1</v>
      </c>
      <c r="Q45">
        <v>1</v>
      </c>
      <c r="R45">
        <v>90.103999999999999</v>
      </c>
      <c r="S45">
        <v>25886.612000000001</v>
      </c>
      <c r="T45" s="1">
        <f t="shared" si="0"/>
        <v>1.0442154423298033</v>
      </c>
      <c r="U45" s="1">
        <f t="shared" si="1"/>
        <v>0.69614362821986897</v>
      </c>
      <c r="V45" s="1">
        <f t="shared" si="2"/>
        <v>1.0442154423298033</v>
      </c>
      <c r="W45" s="1">
        <f t="shared" si="3"/>
        <v>1.0442154423298033</v>
      </c>
      <c r="X45" s="1">
        <f t="shared" si="4"/>
        <v>1.0442154423298033</v>
      </c>
      <c r="Y45" s="1">
        <f t="shared" si="20"/>
        <v>1.0442154423298033</v>
      </c>
      <c r="Z45" s="1">
        <f t="shared" si="21"/>
        <v>0.69614362821986897</v>
      </c>
      <c r="AA45" s="1">
        <f t="shared" si="5"/>
        <v>0.69614362821986897</v>
      </c>
      <c r="AB45" s="1">
        <f t="shared" si="6"/>
        <v>0.69614362821986897</v>
      </c>
      <c r="AC45" s="1">
        <f t="shared" si="7"/>
        <v>0.69614362821986897</v>
      </c>
      <c r="AD45" s="1">
        <f t="shared" si="8"/>
        <v>0.69614362821986897</v>
      </c>
      <c r="AE45" s="1">
        <f t="shared" si="9"/>
        <v>1.0442154423298033</v>
      </c>
      <c r="AF45" s="1">
        <f t="shared" si="10"/>
        <v>1.0442154423298033</v>
      </c>
      <c r="AG45" s="1">
        <f t="shared" si="11"/>
        <v>0.34807181410993449</v>
      </c>
      <c r="AH45" s="1">
        <f t="shared" si="12"/>
        <v>0.34807181410993449</v>
      </c>
      <c r="AI45" s="1">
        <f t="shared" si="22"/>
        <v>0.87017953527483616</v>
      </c>
      <c r="AJ45" s="1">
        <f t="shared" si="23"/>
        <v>1.0442154423298033</v>
      </c>
      <c r="AK45" s="1">
        <f t="shared" si="24"/>
        <v>0.92819150429315866</v>
      </c>
      <c r="AL45" s="1">
        <f t="shared" si="25"/>
        <v>0.69614362821986897</v>
      </c>
      <c r="AM45" s="1">
        <f t="shared" si="26"/>
        <v>0.69614362821986897</v>
      </c>
      <c r="AN45" s="1">
        <f t="shared" si="27"/>
        <v>0.87017953527483616</v>
      </c>
      <c r="AO45" s="1">
        <f t="shared" si="28"/>
        <v>0.58011969018322418</v>
      </c>
    </row>
    <row r="46" spans="1:41" x14ac:dyDescent="0.2">
      <c r="A46">
        <v>44</v>
      </c>
      <c r="B46" t="s">
        <v>21</v>
      </c>
      <c r="C46">
        <v>3</v>
      </c>
      <c r="D46">
        <v>2</v>
      </c>
      <c r="E46">
        <v>3</v>
      </c>
      <c r="F46">
        <v>3</v>
      </c>
      <c r="G46">
        <v>3</v>
      </c>
      <c r="H46">
        <v>3</v>
      </c>
      <c r="I46">
        <v>2</v>
      </c>
      <c r="J46">
        <v>2</v>
      </c>
      <c r="K46">
        <v>2</v>
      </c>
      <c r="L46">
        <v>2</v>
      </c>
      <c r="M46">
        <v>1</v>
      </c>
      <c r="N46">
        <v>3</v>
      </c>
      <c r="O46">
        <v>3</v>
      </c>
      <c r="P46">
        <v>3</v>
      </c>
      <c r="Q46">
        <v>1</v>
      </c>
      <c r="R46">
        <v>139.13399999999999</v>
      </c>
      <c r="S46">
        <v>25886.612000000001</v>
      </c>
      <c r="T46" s="1">
        <f t="shared" si="0"/>
        <v>1.6124242137209763</v>
      </c>
      <c r="U46" s="1">
        <f t="shared" si="1"/>
        <v>1.0749494758139841</v>
      </c>
      <c r="V46" s="1">
        <f t="shared" si="2"/>
        <v>1.6124242137209763</v>
      </c>
      <c r="W46" s="1">
        <f t="shared" si="3"/>
        <v>1.6124242137209763</v>
      </c>
      <c r="X46" s="1">
        <f t="shared" si="4"/>
        <v>1.6124242137209763</v>
      </c>
      <c r="Y46" s="1">
        <f t="shared" si="20"/>
        <v>1.6124242137209763</v>
      </c>
      <c r="Z46" s="1">
        <f t="shared" si="21"/>
        <v>1.0749494758139841</v>
      </c>
      <c r="AA46" s="1">
        <f t="shared" si="5"/>
        <v>1.0749494758139841</v>
      </c>
      <c r="AB46" s="1">
        <f t="shared" si="6"/>
        <v>1.0749494758139841</v>
      </c>
      <c r="AC46" s="1">
        <f t="shared" si="7"/>
        <v>1.0749494758139841</v>
      </c>
      <c r="AD46" s="1">
        <f t="shared" si="8"/>
        <v>0.53747473790699207</v>
      </c>
      <c r="AE46" s="1">
        <f t="shared" si="9"/>
        <v>1.6124242137209763</v>
      </c>
      <c r="AF46" s="1">
        <f t="shared" si="10"/>
        <v>1.6124242137209763</v>
      </c>
      <c r="AG46" s="1">
        <f t="shared" si="11"/>
        <v>1.6124242137209763</v>
      </c>
      <c r="AH46" s="1">
        <f t="shared" si="12"/>
        <v>0.53747473790699207</v>
      </c>
      <c r="AI46" s="1">
        <f t="shared" si="22"/>
        <v>1.3436868447674803</v>
      </c>
      <c r="AJ46" s="1">
        <f t="shared" si="23"/>
        <v>1.6124242137209763</v>
      </c>
      <c r="AK46" s="1">
        <f t="shared" si="24"/>
        <v>1.4332659677519788</v>
      </c>
      <c r="AL46" s="1">
        <f t="shared" si="25"/>
        <v>1.0749494758139841</v>
      </c>
      <c r="AM46" s="1">
        <f t="shared" si="26"/>
        <v>1.0749494758139841</v>
      </c>
      <c r="AN46" s="1">
        <f t="shared" si="27"/>
        <v>1.0749494758139841</v>
      </c>
      <c r="AO46" s="1">
        <f t="shared" si="28"/>
        <v>1.2541077217829815</v>
      </c>
    </row>
    <row r="47" spans="1:41" x14ac:dyDescent="0.2">
      <c r="A47">
        <v>45</v>
      </c>
      <c r="B47" t="s">
        <v>23</v>
      </c>
      <c r="C47">
        <v>1</v>
      </c>
      <c r="D47">
        <v>0</v>
      </c>
      <c r="E47">
        <v>2</v>
      </c>
      <c r="F47">
        <v>3</v>
      </c>
      <c r="G47">
        <v>3</v>
      </c>
      <c r="H47">
        <v>3</v>
      </c>
      <c r="I47">
        <v>0</v>
      </c>
      <c r="J47">
        <v>2</v>
      </c>
      <c r="K47">
        <v>2</v>
      </c>
      <c r="L47">
        <v>1</v>
      </c>
      <c r="M47">
        <v>2</v>
      </c>
      <c r="N47">
        <v>3</v>
      </c>
      <c r="O47">
        <v>1</v>
      </c>
      <c r="P47">
        <v>1</v>
      </c>
      <c r="Q47">
        <v>1</v>
      </c>
      <c r="R47">
        <v>55.802999999999997</v>
      </c>
      <c r="S47">
        <v>25886.612000000001</v>
      </c>
      <c r="T47" s="1">
        <f t="shared" si="0"/>
        <v>0.21556702746578035</v>
      </c>
      <c r="U47" s="1">
        <f t="shared" si="1"/>
        <v>0</v>
      </c>
      <c r="V47" s="1">
        <f t="shared" si="2"/>
        <v>0.43113405493156071</v>
      </c>
      <c r="W47" s="1">
        <f t="shared" si="3"/>
        <v>0.64670108239734103</v>
      </c>
      <c r="X47" s="1">
        <f t="shared" si="4"/>
        <v>0.64670108239734103</v>
      </c>
      <c r="Y47" s="1">
        <f t="shared" si="20"/>
        <v>0.64670108239734103</v>
      </c>
      <c r="Z47" s="1">
        <f t="shared" si="21"/>
        <v>0</v>
      </c>
      <c r="AA47" s="1">
        <f t="shared" si="5"/>
        <v>0.43113405493156071</v>
      </c>
      <c r="AB47" s="1">
        <f t="shared" si="6"/>
        <v>0.43113405493156071</v>
      </c>
      <c r="AC47" s="1">
        <f t="shared" si="7"/>
        <v>0.21556702746578035</v>
      </c>
      <c r="AD47" s="1">
        <f t="shared" si="8"/>
        <v>0.43113405493156071</v>
      </c>
      <c r="AE47" s="1">
        <f t="shared" si="9"/>
        <v>0.64670108239734103</v>
      </c>
      <c r="AF47" s="1">
        <f t="shared" si="10"/>
        <v>0.21556702746578035</v>
      </c>
      <c r="AG47" s="1">
        <f t="shared" si="11"/>
        <v>0.21556702746578035</v>
      </c>
      <c r="AH47" s="1">
        <f t="shared" si="12"/>
        <v>0.21556702746578035</v>
      </c>
      <c r="AI47" s="1">
        <f t="shared" si="22"/>
        <v>0.10778351373289018</v>
      </c>
      <c r="AJ47" s="1">
        <f t="shared" si="23"/>
        <v>0.53891756866445084</v>
      </c>
      <c r="AK47" s="1">
        <f t="shared" si="24"/>
        <v>0.43113405493156071</v>
      </c>
      <c r="AL47" s="1">
        <f t="shared" si="25"/>
        <v>0.43113405493156071</v>
      </c>
      <c r="AM47" s="1">
        <f t="shared" si="26"/>
        <v>0.21556702746578035</v>
      </c>
      <c r="AN47" s="1">
        <f t="shared" si="27"/>
        <v>0.53891756866445084</v>
      </c>
      <c r="AO47" s="1">
        <f t="shared" si="28"/>
        <v>0.21556702746578035</v>
      </c>
    </row>
    <row r="48" spans="1:41" x14ac:dyDescent="0.2">
      <c r="A48">
        <v>46</v>
      </c>
      <c r="B48" t="s">
        <v>36</v>
      </c>
      <c r="C48">
        <v>2</v>
      </c>
      <c r="D48">
        <v>2</v>
      </c>
      <c r="E48">
        <v>3</v>
      </c>
      <c r="F48">
        <v>3</v>
      </c>
      <c r="G48">
        <v>3</v>
      </c>
      <c r="H48">
        <v>2</v>
      </c>
      <c r="I48">
        <v>0</v>
      </c>
      <c r="J48">
        <v>1</v>
      </c>
      <c r="K48">
        <v>0</v>
      </c>
      <c r="L48">
        <v>0</v>
      </c>
      <c r="M48">
        <v>3</v>
      </c>
      <c r="N48">
        <v>3</v>
      </c>
      <c r="O48">
        <v>2</v>
      </c>
      <c r="P48">
        <v>1</v>
      </c>
      <c r="Q48">
        <v>0</v>
      </c>
      <c r="R48">
        <v>136.006</v>
      </c>
      <c r="S48">
        <v>25886.612000000001</v>
      </c>
      <c r="T48" s="1">
        <f t="shared" si="0"/>
        <v>1.0507825435016371</v>
      </c>
      <c r="U48" s="1">
        <f t="shared" si="1"/>
        <v>1.0507825435016371</v>
      </c>
      <c r="V48" s="1">
        <f t="shared" si="2"/>
        <v>1.5761738152524556</v>
      </c>
      <c r="W48" s="1">
        <f t="shared" si="3"/>
        <v>1.5761738152524556</v>
      </c>
      <c r="X48" s="1">
        <f t="shared" si="4"/>
        <v>1.5761738152524556</v>
      </c>
      <c r="Y48" s="1">
        <f t="shared" si="20"/>
        <v>1.0507825435016371</v>
      </c>
      <c r="Z48" s="1">
        <f t="shared" si="21"/>
        <v>0</v>
      </c>
      <c r="AA48" s="1">
        <f t="shared" si="5"/>
        <v>0.52539127175081857</v>
      </c>
      <c r="AB48" s="1">
        <f t="shared" si="6"/>
        <v>0</v>
      </c>
      <c r="AC48" s="1">
        <f t="shared" si="7"/>
        <v>0</v>
      </c>
      <c r="AD48" s="1">
        <f t="shared" si="8"/>
        <v>1.5761738152524556</v>
      </c>
      <c r="AE48" s="1">
        <f t="shared" si="9"/>
        <v>1.5761738152524556</v>
      </c>
      <c r="AF48" s="1">
        <f t="shared" si="10"/>
        <v>1.0507825435016371</v>
      </c>
      <c r="AG48" s="1">
        <f t="shared" si="11"/>
        <v>0.52539127175081857</v>
      </c>
      <c r="AH48" s="1">
        <f t="shared" si="12"/>
        <v>0</v>
      </c>
      <c r="AI48" s="1">
        <f t="shared" si="22"/>
        <v>1.0507825435016371</v>
      </c>
      <c r="AJ48" s="1">
        <f t="shared" si="23"/>
        <v>1.5761738152524556</v>
      </c>
      <c r="AK48" s="1">
        <f t="shared" si="24"/>
        <v>0.87565211958469769</v>
      </c>
      <c r="AL48" s="1">
        <f t="shared" si="25"/>
        <v>0.26269563587540928</v>
      </c>
      <c r="AM48" s="1">
        <f t="shared" si="26"/>
        <v>0</v>
      </c>
      <c r="AN48" s="1">
        <f t="shared" si="27"/>
        <v>1.5761738152524556</v>
      </c>
      <c r="AO48" s="1">
        <f t="shared" si="28"/>
        <v>0.52539127175081857</v>
      </c>
    </row>
    <row r="49" spans="1:41" x14ac:dyDescent="0.2">
      <c r="A49">
        <v>47</v>
      </c>
      <c r="B49" t="s">
        <v>21</v>
      </c>
      <c r="C49">
        <v>3</v>
      </c>
      <c r="D49">
        <v>2</v>
      </c>
      <c r="E49">
        <v>3</v>
      </c>
      <c r="F49">
        <v>3</v>
      </c>
      <c r="G49">
        <v>2</v>
      </c>
      <c r="H49">
        <v>3</v>
      </c>
      <c r="I49">
        <v>1</v>
      </c>
      <c r="J49">
        <v>2</v>
      </c>
      <c r="K49">
        <v>2</v>
      </c>
      <c r="L49">
        <v>2</v>
      </c>
      <c r="M49">
        <v>3</v>
      </c>
      <c r="N49">
        <v>3</v>
      </c>
      <c r="O49">
        <v>3</v>
      </c>
      <c r="P49">
        <v>3</v>
      </c>
      <c r="Q49">
        <v>1</v>
      </c>
      <c r="R49">
        <v>50.892000000000003</v>
      </c>
      <c r="S49">
        <v>25886.612000000001</v>
      </c>
      <c r="T49" s="1">
        <f t="shared" si="0"/>
        <v>0.58978749324168034</v>
      </c>
      <c r="U49" s="1">
        <f t="shared" si="1"/>
        <v>0.39319166216112023</v>
      </c>
      <c r="V49" s="1">
        <f t="shared" si="2"/>
        <v>0.58978749324168034</v>
      </c>
      <c r="W49" s="1">
        <f t="shared" si="3"/>
        <v>0.58978749324168034</v>
      </c>
      <c r="X49" s="1">
        <f t="shared" si="4"/>
        <v>0.39319166216112023</v>
      </c>
      <c r="Y49" s="1">
        <f t="shared" si="20"/>
        <v>0.58978749324168034</v>
      </c>
      <c r="Z49" s="1">
        <f t="shared" si="21"/>
        <v>0.19659583108056011</v>
      </c>
      <c r="AA49" s="1">
        <f t="shared" si="5"/>
        <v>0.39319166216112023</v>
      </c>
      <c r="AB49" s="1">
        <f t="shared" si="6"/>
        <v>0.39319166216112023</v>
      </c>
      <c r="AC49" s="1">
        <f t="shared" si="7"/>
        <v>0.39319166216112023</v>
      </c>
      <c r="AD49" s="1">
        <f t="shared" si="8"/>
        <v>0.58978749324168034</v>
      </c>
      <c r="AE49" s="1">
        <f t="shared" si="9"/>
        <v>0.58978749324168034</v>
      </c>
      <c r="AF49" s="1">
        <f t="shared" si="10"/>
        <v>0.58978749324168034</v>
      </c>
      <c r="AG49" s="1">
        <f t="shared" si="11"/>
        <v>0.58978749324168034</v>
      </c>
      <c r="AH49" s="1">
        <f t="shared" si="12"/>
        <v>0.19659583108056011</v>
      </c>
      <c r="AI49" s="1">
        <f t="shared" si="22"/>
        <v>0.49148957770140028</v>
      </c>
      <c r="AJ49" s="1">
        <f t="shared" si="23"/>
        <v>0.58978749324168034</v>
      </c>
      <c r="AK49" s="1">
        <f t="shared" si="24"/>
        <v>0.39319166216112023</v>
      </c>
      <c r="AL49" s="1">
        <f t="shared" si="25"/>
        <v>0.39319166216112023</v>
      </c>
      <c r="AM49" s="1">
        <f t="shared" si="26"/>
        <v>0.39319166216112023</v>
      </c>
      <c r="AN49" s="1">
        <f t="shared" si="27"/>
        <v>0.58978749324168034</v>
      </c>
      <c r="AO49" s="1">
        <f t="shared" si="28"/>
        <v>0.45872360585464023</v>
      </c>
    </row>
    <row r="50" spans="1:41" x14ac:dyDescent="0.2">
      <c r="A50">
        <v>48</v>
      </c>
      <c r="B50" t="s">
        <v>23</v>
      </c>
      <c r="C50">
        <v>1</v>
      </c>
      <c r="D50">
        <v>2</v>
      </c>
      <c r="E50">
        <v>3</v>
      </c>
      <c r="F50">
        <v>3</v>
      </c>
      <c r="G50">
        <v>3</v>
      </c>
      <c r="H50">
        <v>3</v>
      </c>
      <c r="I50">
        <v>1</v>
      </c>
      <c r="J50">
        <v>2</v>
      </c>
      <c r="K50">
        <v>2</v>
      </c>
      <c r="L50">
        <v>1</v>
      </c>
      <c r="M50">
        <v>2</v>
      </c>
      <c r="N50">
        <v>3</v>
      </c>
      <c r="O50">
        <v>1</v>
      </c>
      <c r="P50">
        <v>0</v>
      </c>
      <c r="Q50">
        <v>1</v>
      </c>
      <c r="R50">
        <v>53.746000000000002</v>
      </c>
      <c r="S50">
        <v>25886.612000000001</v>
      </c>
      <c r="T50" s="1">
        <f t="shared" si="0"/>
        <v>0.2076208350478618</v>
      </c>
      <c r="U50" s="1">
        <f t="shared" si="1"/>
        <v>0.4152416700957236</v>
      </c>
      <c r="V50" s="1">
        <f t="shared" si="2"/>
        <v>0.62286250514358543</v>
      </c>
      <c r="W50" s="1">
        <f t="shared" si="3"/>
        <v>0.62286250514358543</v>
      </c>
      <c r="X50" s="1">
        <f t="shared" si="4"/>
        <v>0.62286250514358543</v>
      </c>
      <c r="Y50" s="1">
        <f t="shared" si="20"/>
        <v>0.62286250514358543</v>
      </c>
      <c r="Z50" s="1">
        <f t="shared" si="21"/>
        <v>0.2076208350478618</v>
      </c>
      <c r="AA50" s="1">
        <f t="shared" si="5"/>
        <v>0.4152416700957236</v>
      </c>
      <c r="AB50" s="1">
        <f t="shared" si="6"/>
        <v>0.4152416700957236</v>
      </c>
      <c r="AC50" s="1">
        <f t="shared" si="7"/>
        <v>0.2076208350478618</v>
      </c>
      <c r="AD50" s="1">
        <f t="shared" si="8"/>
        <v>0.4152416700957236</v>
      </c>
      <c r="AE50" s="1">
        <f t="shared" si="9"/>
        <v>0.62286250514358543</v>
      </c>
      <c r="AF50" s="1">
        <f t="shared" si="10"/>
        <v>0.2076208350478618</v>
      </c>
      <c r="AG50" s="1">
        <f t="shared" si="11"/>
        <v>0</v>
      </c>
      <c r="AH50" s="1">
        <f t="shared" si="12"/>
        <v>0.2076208350478618</v>
      </c>
      <c r="AI50" s="1">
        <f t="shared" si="22"/>
        <v>0.31143125257179272</v>
      </c>
      <c r="AJ50" s="1">
        <f t="shared" si="23"/>
        <v>0.62286250514358543</v>
      </c>
      <c r="AK50" s="1">
        <f t="shared" si="24"/>
        <v>0.48444861511167758</v>
      </c>
      <c r="AL50" s="1">
        <f t="shared" si="25"/>
        <v>0.4152416700957236</v>
      </c>
      <c r="AM50" s="1">
        <f t="shared" si="26"/>
        <v>0.2076208350478618</v>
      </c>
      <c r="AN50" s="1">
        <f t="shared" si="27"/>
        <v>0.51905208761965449</v>
      </c>
      <c r="AO50" s="1">
        <f t="shared" si="28"/>
        <v>0.13841389003190788</v>
      </c>
    </row>
    <row r="51" spans="1:41" x14ac:dyDescent="0.2">
      <c r="A51">
        <v>49</v>
      </c>
      <c r="B51" t="s">
        <v>36</v>
      </c>
      <c r="C51">
        <v>1</v>
      </c>
      <c r="D51">
        <v>2</v>
      </c>
      <c r="E51">
        <v>3</v>
      </c>
      <c r="F51">
        <v>3</v>
      </c>
      <c r="G51">
        <v>2</v>
      </c>
      <c r="H51">
        <v>2</v>
      </c>
      <c r="I51">
        <v>1</v>
      </c>
      <c r="J51">
        <v>1</v>
      </c>
      <c r="K51">
        <v>0</v>
      </c>
      <c r="L51">
        <v>1</v>
      </c>
      <c r="M51">
        <v>2</v>
      </c>
      <c r="N51">
        <v>3</v>
      </c>
      <c r="O51">
        <v>2</v>
      </c>
      <c r="P51">
        <v>0</v>
      </c>
      <c r="Q51">
        <v>0</v>
      </c>
      <c r="R51">
        <v>48.511000000000003</v>
      </c>
      <c r="S51">
        <v>25886.612000000001</v>
      </c>
      <c r="T51" s="1">
        <f t="shared" si="0"/>
        <v>0.18739802643930384</v>
      </c>
      <c r="U51" s="1">
        <f t="shared" si="1"/>
        <v>0.37479605287860768</v>
      </c>
      <c r="V51" s="1">
        <f t="shared" si="2"/>
        <v>0.56219407931791154</v>
      </c>
      <c r="W51" s="1">
        <f t="shared" si="3"/>
        <v>0.56219407931791154</v>
      </c>
      <c r="X51" s="1">
        <f t="shared" si="4"/>
        <v>0.37479605287860768</v>
      </c>
      <c r="Y51" s="1">
        <f t="shared" si="20"/>
        <v>0.37479605287860768</v>
      </c>
      <c r="Z51" s="1">
        <f t="shared" si="21"/>
        <v>0.18739802643930384</v>
      </c>
      <c r="AA51" s="1">
        <f t="shared" si="5"/>
        <v>0.18739802643930384</v>
      </c>
      <c r="AB51" s="1">
        <f t="shared" si="6"/>
        <v>0</v>
      </c>
      <c r="AC51" s="1">
        <f t="shared" si="7"/>
        <v>0.18739802643930384</v>
      </c>
      <c r="AD51" s="1">
        <f t="shared" si="8"/>
        <v>0.37479605287860768</v>
      </c>
      <c r="AE51" s="1">
        <f t="shared" si="9"/>
        <v>0.56219407931791154</v>
      </c>
      <c r="AF51" s="1">
        <f t="shared" si="10"/>
        <v>0.37479605287860768</v>
      </c>
      <c r="AG51" s="1">
        <f t="shared" si="11"/>
        <v>0</v>
      </c>
      <c r="AH51" s="1">
        <f t="shared" si="12"/>
        <v>0</v>
      </c>
      <c r="AI51" s="1">
        <f t="shared" si="22"/>
        <v>0.28109703965895577</v>
      </c>
      <c r="AJ51" s="1">
        <f t="shared" si="23"/>
        <v>0.56219407931791154</v>
      </c>
      <c r="AK51" s="1">
        <f t="shared" si="24"/>
        <v>0.31233004406550641</v>
      </c>
      <c r="AL51" s="1">
        <f t="shared" si="25"/>
        <v>9.3699013219651919E-2</v>
      </c>
      <c r="AM51" s="1">
        <f t="shared" si="26"/>
        <v>0.18739802643930384</v>
      </c>
      <c r="AN51" s="1">
        <f t="shared" si="27"/>
        <v>0.46849506609825964</v>
      </c>
      <c r="AO51" s="1">
        <f t="shared" si="28"/>
        <v>0.12493201762620255</v>
      </c>
    </row>
    <row r="52" spans="1:41" x14ac:dyDescent="0.2">
      <c r="A52">
        <v>50</v>
      </c>
      <c r="B52" t="s">
        <v>20</v>
      </c>
      <c r="C52">
        <v>2</v>
      </c>
      <c r="D52">
        <v>2</v>
      </c>
      <c r="E52">
        <v>3</v>
      </c>
      <c r="F52">
        <v>3</v>
      </c>
      <c r="G52">
        <v>2</v>
      </c>
      <c r="H52">
        <v>3</v>
      </c>
      <c r="I52">
        <v>0</v>
      </c>
      <c r="J52">
        <v>2</v>
      </c>
      <c r="K52">
        <v>2</v>
      </c>
      <c r="L52">
        <v>1</v>
      </c>
      <c r="M52">
        <v>2</v>
      </c>
      <c r="N52">
        <v>3</v>
      </c>
      <c r="O52">
        <v>0</v>
      </c>
      <c r="P52">
        <v>1</v>
      </c>
      <c r="Q52">
        <v>1</v>
      </c>
      <c r="R52">
        <v>54.323999999999998</v>
      </c>
      <c r="S52">
        <v>25886.612000000001</v>
      </c>
      <c r="T52" s="1">
        <f t="shared" si="0"/>
        <v>0.41970729889257036</v>
      </c>
      <c r="U52" s="1">
        <f t="shared" si="1"/>
        <v>0.41970729889257036</v>
      </c>
      <c r="V52" s="1">
        <f t="shared" si="2"/>
        <v>0.62956094833885556</v>
      </c>
      <c r="W52" s="1">
        <f t="shared" si="3"/>
        <v>0.62956094833885556</v>
      </c>
      <c r="X52" s="1">
        <f t="shared" si="4"/>
        <v>0.41970729889257036</v>
      </c>
      <c r="Y52" s="1">
        <f t="shared" si="20"/>
        <v>0.62956094833885556</v>
      </c>
      <c r="Z52" s="1">
        <f t="shared" si="21"/>
        <v>0</v>
      </c>
      <c r="AA52" s="1">
        <f t="shared" si="5"/>
        <v>0.41970729889257036</v>
      </c>
      <c r="AB52" s="1">
        <f t="shared" si="6"/>
        <v>0.41970729889257036</v>
      </c>
      <c r="AC52" s="1">
        <f t="shared" si="7"/>
        <v>0.20985364944628518</v>
      </c>
      <c r="AD52" s="1">
        <f t="shared" si="8"/>
        <v>0.41970729889257036</v>
      </c>
      <c r="AE52" s="1">
        <f t="shared" si="9"/>
        <v>0.62956094833885556</v>
      </c>
      <c r="AF52" s="1">
        <f t="shared" si="10"/>
        <v>0</v>
      </c>
      <c r="AG52" s="1">
        <f t="shared" si="11"/>
        <v>0.20985364944628518</v>
      </c>
      <c r="AH52" s="1">
        <f t="shared" si="12"/>
        <v>0.20985364944628518</v>
      </c>
      <c r="AI52" s="1">
        <f t="shared" si="22"/>
        <v>0.41970729889257036</v>
      </c>
      <c r="AJ52" s="1">
        <f t="shared" si="23"/>
        <v>0.62956094833885556</v>
      </c>
      <c r="AK52" s="1">
        <f t="shared" si="24"/>
        <v>0.34975608241047529</v>
      </c>
      <c r="AL52" s="1">
        <f t="shared" si="25"/>
        <v>0.41970729889257036</v>
      </c>
      <c r="AM52" s="1">
        <f t="shared" si="26"/>
        <v>0.20985364944628518</v>
      </c>
      <c r="AN52" s="1">
        <f t="shared" si="27"/>
        <v>0.52463412361571293</v>
      </c>
      <c r="AO52" s="1">
        <f t="shared" si="28"/>
        <v>0.13990243296419011</v>
      </c>
    </row>
    <row r="53" spans="1:41" x14ac:dyDescent="0.2">
      <c r="A53">
        <v>51</v>
      </c>
      <c r="B53" t="s">
        <v>20</v>
      </c>
      <c r="C53">
        <v>2</v>
      </c>
      <c r="D53">
        <v>2</v>
      </c>
      <c r="E53">
        <v>2</v>
      </c>
      <c r="F53">
        <v>3</v>
      </c>
      <c r="G53">
        <v>2</v>
      </c>
      <c r="H53">
        <v>3</v>
      </c>
      <c r="I53">
        <v>1</v>
      </c>
      <c r="J53">
        <v>2</v>
      </c>
      <c r="K53">
        <v>2</v>
      </c>
      <c r="L53">
        <v>1</v>
      </c>
      <c r="M53">
        <v>3</v>
      </c>
      <c r="N53">
        <v>3</v>
      </c>
      <c r="O53">
        <v>0</v>
      </c>
      <c r="P53">
        <v>1</v>
      </c>
      <c r="Q53">
        <v>0</v>
      </c>
      <c r="R53">
        <v>56.14</v>
      </c>
      <c r="S53">
        <v>25886.612000000001</v>
      </c>
      <c r="T53" s="1">
        <f t="shared" si="0"/>
        <v>0.4337377173961583</v>
      </c>
      <c r="U53" s="1">
        <f t="shared" si="1"/>
        <v>0.4337377173961583</v>
      </c>
      <c r="V53" s="1">
        <f t="shared" si="2"/>
        <v>0.4337377173961583</v>
      </c>
      <c r="W53" s="1">
        <f t="shared" si="3"/>
        <v>0.65060657609423744</v>
      </c>
      <c r="X53" s="1">
        <f t="shared" si="4"/>
        <v>0.4337377173961583</v>
      </c>
      <c r="Y53" s="1">
        <f t="shared" si="20"/>
        <v>0.65060657609423744</v>
      </c>
      <c r="Z53" s="1">
        <f t="shared" si="21"/>
        <v>0.21686885869807915</v>
      </c>
      <c r="AA53" s="1">
        <f t="shared" si="5"/>
        <v>0.4337377173961583</v>
      </c>
      <c r="AB53" s="1">
        <f t="shared" si="6"/>
        <v>0.4337377173961583</v>
      </c>
      <c r="AC53" s="1">
        <f t="shared" si="7"/>
        <v>0.21686885869807915</v>
      </c>
      <c r="AD53" s="1">
        <f t="shared" si="8"/>
        <v>0.65060657609423744</v>
      </c>
      <c r="AE53" s="1">
        <f t="shared" si="9"/>
        <v>0.65060657609423744</v>
      </c>
      <c r="AF53" s="1">
        <f t="shared" si="10"/>
        <v>0</v>
      </c>
      <c r="AG53" s="1">
        <f t="shared" si="11"/>
        <v>0.21686885869807915</v>
      </c>
      <c r="AH53" s="1">
        <f t="shared" si="12"/>
        <v>0</v>
      </c>
      <c r="AI53" s="1">
        <f t="shared" si="22"/>
        <v>0.4337377173961583</v>
      </c>
      <c r="AJ53" s="1">
        <f t="shared" si="23"/>
        <v>0.54217214674519787</v>
      </c>
      <c r="AK53" s="1">
        <f t="shared" si="24"/>
        <v>0.4337377173961583</v>
      </c>
      <c r="AL53" s="1">
        <f t="shared" si="25"/>
        <v>0.4337377173961583</v>
      </c>
      <c r="AM53" s="1">
        <f t="shared" si="26"/>
        <v>0.21686885869807915</v>
      </c>
      <c r="AN53" s="1">
        <f t="shared" si="27"/>
        <v>0.65060657609423744</v>
      </c>
      <c r="AO53" s="1">
        <f t="shared" si="28"/>
        <v>7.2289619566026378E-2</v>
      </c>
    </row>
    <row r="54" spans="1:41" x14ac:dyDescent="0.2">
      <c r="A54">
        <v>52</v>
      </c>
      <c r="B54" t="s">
        <v>36</v>
      </c>
      <c r="C54">
        <v>1</v>
      </c>
      <c r="D54">
        <v>2</v>
      </c>
      <c r="E54">
        <v>3</v>
      </c>
      <c r="F54">
        <v>3</v>
      </c>
      <c r="G54">
        <v>3</v>
      </c>
      <c r="H54">
        <v>1</v>
      </c>
      <c r="I54">
        <v>1</v>
      </c>
      <c r="J54">
        <v>1</v>
      </c>
      <c r="K54">
        <v>2</v>
      </c>
      <c r="L54">
        <v>1</v>
      </c>
      <c r="M54">
        <v>2</v>
      </c>
      <c r="N54">
        <v>3</v>
      </c>
      <c r="O54">
        <v>1</v>
      </c>
      <c r="P54">
        <v>0</v>
      </c>
      <c r="Q54">
        <v>2</v>
      </c>
      <c r="R54">
        <v>109.09399999999999</v>
      </c>
      <c r="S54">
        <v>25886.612000000001</v>
      </c>
      <c r="T54" s="1">
        <f t="shared" si="0"/>
        <v>0.42143019720000435</v>
      </c>
      <c r="U54" s="1">
        <f t="shared" si="1"/>
        <v>0.84286039440000871</v>
      </c>
      <c r="V54" s="1">
        <f t="shared" si="2"/>
        <v>1.2642905916000131</v>
      </c>
      <c r="W54" s="1">
        <f t="shared" si="3"/>
        <v>1.2642905916000131</v>
      </c>
      <c r="X54" s="1">
        <f t="shared" si="4"/>
        <v>1.2642905916000131</v>
      </c>
      <c r="Y54" s="1">
        <f t="shared" si="20"/>
        <v>0.42143019720000435</v>
      </c>
      <c r="Z54" s="1">
        <f t="shared" si="21"/>
        <v>0.42143019720000435</v>
      </c>
      <c r="AA54" s="1">
        <f t="shared" si="5"/>
        <v>0.42143019720000435</v>
      </c>
      <c r="AB54" s="1">
        <f t="shared" si="6"/>
        <v>0.84286039440000871</v>
      </c>
      <c r="AC54" s="1">
        <f t="shared" si="7"/>
        <v>0.42143019720000435</v>
      </c>
      <c r="AD54" s="1">
        <f t="shared" si="8"/>
        <v>0.84286039440000871</v>
      </c>
      <c r="AE54" s="1">
        <f t="shared" si="9"/>
        <v>1.2642905916000131</v>
      </c>
      <c r="AF54" s="1">
        <f t="shared" si="10"/>
        <v>0.42143019720000435</v>
      </c>
      <c r="AG54" s="1">
        <f t="shared" si="11"/>
        <v>0</v>
      </c>
      <c r="AH54" s="1">
        <f t="shared" si="12"/>
        <v>0.84286039440000871</v>
      </c>
      <c r="AI54" s="1">
        <f t="shared" si="22"/>
        <v>0.63214529580000656</v>
      </c>
      <c r="AJ54" s="1">
        <f t="shared" si="23"/>
        <v>1.2642905916000131</v>
      </c>
      <c r="AK54" s="1">
        <f t="shared" si="24"/>
        <v>0.70238366200000735</v>
      </c>
      <c r="AL54" s="1">
        <f t="shared" si="25"/>
        <v>0.63214529580000656</v>
      </c>
      <c r="AM54" s="1">
        <f t="shared" si="26"/>
        <v>0.42143019720000435</v>
      </c>
      <c r="AN54" s="1">
        <f t="shared" si="27"/>
        <v>1.053575493000011</v>
      </c>
      <c r="AO54" s="1">
        <f t="shared" si="28"/>
        <v>0.42143019720000435</v>
      </c>
    </row>
    <row r="55" spans="1:41" x14ac:dyDescent="0.2">
      <c r="A55">
        <v>53</v>
      </c>
      <c r="B55" t="s">
        <v>37</v>
      </c>
      <c r="C55">
        <v>2</v>
      </c>
      <c r="D55">
        <v>2</v>
      </c>
      <c r="E55">
        <v>2</v>
      </c>
      <c r="F55">
        <v>3</v>
      </c>
      <c r="G55">
        <v>3</v>
      </c>
      <c r="H55">
        <v>3</v>
      </c>
      <c r="I55">
        <v>1</v>
      </c>
      <c r="J55">
        <v>3</v>
      </c>
      <c r="K55">
        <v>3</v>
      </c>
      <c r="L55">
        <v>2</v>
      </c>
      <c r="M55">
        <v>1</v>
      </c>
      <c r="N55">
        <v>2</v>
      </c>
      <c r="O55">
        <v>3</v>
      </c>
      <c r="P55">
        <v>3</v>
      </c>
      <c r="Q55">
        <v>1</v>
      </c>
      <c r="R55">
        <v>56.874000000000002</v>
      </c>
      <c r="S55">
        <v>25886.612000000001</v>
      </c>
      <c r="T55" s="1">
        <f t="shared" si="0"/>
        <v>0.43940860240807106</v>
      </c>
      <c r="U55" s="1">
        <f t="shared" si="1"/>
        <v>0.43940860240807106</v>
      </c>
      <c r="V55" s="1">
        <f t="shared" si="2"/>
        <v>0.43940860240807106</v>
      </c>
      <c r="W55" s="1">
        <f t="shared" si="3"/>
        <v>0.65911290361210662</v>
      </c>
      <c r="X55" s="1">
        <f t="shared" si="4"/>
        <v>0.65911290361210662</v>
      </c>
      <c r="Y55" s="1">
        <f t="shared" si="20"/>
        <v>0.65911290361210662</v>
      </c>
      <c r="Z55" s="1">
        <f t="shared" si="21"/>
        <v>0.21970430120403553</v>
      </c>
      <c r="AA55" s="1">
        <f t="shared" si="5"/>
        <v>0.65911290361210662</v>
      </c>
      <c r="AB55" s="1">
        <f t="shared" si="6"/>
        <v>0.65911290361210662</v>
      </c>
      <c r="AC55" s="1">
        <f t="shared" si="7"/>
        <v>0.43940860240807106</v>
      </c>
      <c r="AD55" s="1">
        <f t="shared" si="8"/>
        <v>0.21970430120403553</v>
      </c>
      <c r="AE55" s="1">
        <f t="shared" si="9"/>
        <v>0.43940860240807106</v>
      </c>
      <c r="AF55" s="1">
        <f t="shared" si="10"/>
        <v>0.65911290361210662</v>
      </c>
      <c r="AG55" s="1">
        <f t="shared" si="11"/>
        <v>0.65911290361210662</v>
      </c>
      <c r="AH55" s="1">
        <f t="shared" si="12"/>
        <v>0.21970430120403553</v>
      </c>
      <c r="AI55" s="1">
        <f t="shared" si="22"/>
        <v>0.43940860240807106</v>
      </c>
      <c r="AJ55" s="1">
        <f t="shared" si="23"/>
        <v>0.54926075301008881</v>
      </c>
      <c r="AK55" s="1">
        <f t="shared" si="24"/>
        <v>0.51264336947608291</v>
      </c>
      <c r="AL55" s="1">
        <f t="shared" si="25"/>
        <v>0.65911290361210662</v>
      </c>
      <c r="AM55" s="1">
        <f t="shared" si="26"/>
        <v>0.43940860240807106</v>
      </c>
      <c r="AN55" s="1">
        <f t="shared" si="27"/>
        <v>0.32955645180605331</v>
      </c>
      <c r="AO55" s="1">
        <f t="shared" si="28"/>
        <v>0.51264336947608291</v>
      </c>
    </row>
    <row r="56" spans="1:41" x14ac:dyDescent="0.2">
      <c r="A56">
        <v>54</v>
      </c>
      <c r="B56" t="s">
        <v>21</v>
      </c>
      <c r="C56">
        <v>2</v>
      </c>
      <c r="D56">
        <v>2</v>
      </c>
      <c r="E56">
        <v>3</v>
      </c>
      <c r="F56">
        <v>3</v>
      </c>
      <c r="G56">
        <v>3</v>
      </c>
      <c r="H56">
        <v>2</v>
      </c>
      <c r="I56">
        <v>0</v>
      </c>
      <c r="J56">
        <v>2</v>
      </c>
      <c r="K56">
        <v>2</v>
      </c>
      <c r="L56">
        <v>2</v>
      </c>
      <c r="M56">
        <v>3</v>
      </c>
      <c r="N56">
        <v>3</v>
      </c>
      <c r="O56">
        <v>3</v>
      </c>
      <c r="P56">
        <v>1</v>
      </c>
      <c r="Q56">
        <v>1</v>
      </c>
      <c r="R56">
        <v>111.959</v>
      </c>
      <c r="S56">
        <v>25886.612000000001</v>
      </c>
      <c r="T56" s="1">
        <f t="shared" si="0"/>
        <v>0.86499538834977707</v>
      </c>
      <c r="U56" s="1">
        <f t="shared" si="1"/>
        <v>0.86499538834977707</v>
      </c>
      <c r="V56" s="1">
        <f t="shared" si="2"/>
        <v>1.2974930825246656</v>
      </c>
      <c r="W56" s="1">
        <f t="shared" si="3"/>
        <v>1.2974930825246656</v>
      </c>
      <c r="X56" s="1">
        <f t="shared" si="4"/>
        <v>1.2974930825246656</v>
      </c>
      <c r="Y56" s="1">
        <f t="shared" si="20"/>
        <v>0.86499538834977707</v>
      </c>
      <c r="Z56" s="1">
        <f t="shared" si="21"/>
        <v>0</v>
      </c>
      <c r="AA56" s="1">
        <f t="shared" si="5"/>
        <v>0.86499538834977707</v>
      </c>
      <c r="AB56" s="1">
        <f t="shared" si="6"/>
        <v>0.86499538834977707</v>
      </c>
      <c r="AC56" s="1">
        <f t="shared" si="7"/>
        <v>0.86499538834977707</v>
      </c>
      <c r="AD56" s="1">
        <f t="shared" si="8"/>
        <v>1.2974930825246656</v>
      </c>
      <c r="AE56" s="1">
        <f t="shared" si="9"/>
        <v>1.2974930825246656</v>
      </c>
      <c r="AF56" s="1">
        <f t="shared" si="10"/>
        <v>1.2974930825246656</v>
      </c>
      <c r="AG56" s="1">
        <f t="shared" si="11"/>
        <v>0.43249769417488854</v>
      </c>
      <c r="AH56" s="1">
        <f t="shared" si="12"/>
        <v>0.43249769417488854</v>
      </c>
      <c r="AI56" s="1">
        <f t="shared" si="22"/>
        <v>0.86499538834977707</v>
      </c>
      <c r="AJ56" s="1">
        <f t="shared" si="23"/>
        <v>1.2974930825246656</v>
      </c>
      <c r="AK56" s="1">
        <f t="shared" si="24"/>
        <v>0.72082949029148091</v>
      </c>
      <c r="AL56" s="1">
        <f t="shared" si="25"/>
        <v>0.86499538834977707</v>
      </c>
      <c r="AM56" s="1">
        <f t="shared" si="26"/>
        <v>0.86499538834977707</v>
      </c>
      <c r="AN56" s="1">
        <f t="shared" si="27"/>
        <v>1.2974930825246656</v>
      </c>
      <c r="AO56" s="1">
        <f t="shared" si="28"/>
        <v>0.72082949029148091</v>
      </c>
    </row>
    <row r="57" spans="1:41" x14ac:dyDescent="0.2">
      <c r="A57">
        <v>55</v>
      </c>
      <c r="B57" t="s">
        <v>22</v>
      </c>
      <c r="C57">
        <v>3</v>
      </c>
      <c r="D57">
        <v>3</v>
      </c>
      <c r="E57">
        <v>3</v>
      </c>
      <c r="F57">
        <v>3</v>
      </c>
      <c r="G57">
        <v>2</v>
      </c>
      <c r="H57">
        <v>3</v>
      </c>
      <c r="I57">
        <v>3</v>
      </c>
      <c r="J57">
        <v>3</v>
      </c>
      <c r="K57">
        <v>3</v>
      </c>
      <c r="L57">
        <v>2</v>
      </c>
      <c r="M57">
        <v>3</v>
      </c>
      <c r="N57">
        <v>2</v>
      </c>
      <c r="O57">
        <v>3</v>
      </c>
      <c r="P57">
        <v>1</v>
      </c>
      <c r="Q57">
        <v>1</v>
      </c>
      <c r="R57">
        <v>225.01499999999999</v>
      </c>
      <c r="S57">
        <v>25886.612000000001</v>
      </c>
      <c r="T57" s="1">
        <f t="shared" si="0"/>
        <v>2.6076993003178632</v>
      </c>
      <c r="U57" s="1">
        <f t="shared" si="1"/>
        <v>2.6076993003178632</v>
      </c>
      <c r="V57" s="1">
        <f t="shared" si="2"/>
        <v>2.6076993003178632</v>
      </c>
      <c r="W57" s="1">
        <f t="shared" si="3"/>
        <v>2.6076993003178632</v>
      </c>
      <c r="X57" s="1">
        <f t="shared" si="4"/>
        <v>1.7384662002119087</v>
      </c>
      <c r="Y57" s="1">
        <f t="shared" si="20"/>
        <v>2.6076993003178632</v>
      </c>
      <c r="Z57" s="1">
        <f t="shared" si="21"/>
        <v>2.6076993003178632</v>
      </c>
      <c r="AA57" s="1">
        <f t="shared" si="5"/>
        <v>2.6076993003178632</v>
      </c>
      <c r="AB57" s="1">
        <f t="shared" si="6"/>
        <v>2.6076993003178632</v>
      </c>
      <c r="AC57" s="1">
        <f t="shared" si="7"/>
        <v>1.7384662002119087</v>
      </c>
      <c r="AD57" s="1">
        <f t="shared" si="8"/>
        <v>2.6076993003178632</v>
      </c>
      <c r="AE57" s="1">
        <f t="shared" si="9"/>
        <v>1.7384662002119087</v>
      </c>
      <c r="AF57" s="1">
        <f t="shared" si="10"/>
        <v>2.6076993003178632</v>
      </c>
      <c r="AG57" s="1">
        <f t="shared" si="11"/>
        <v>0.86923310010595434</v>
      </c>
      <c r="AH57" s="1">
        <f t="shared" si="12"/>
        <v>0.86923310010595434</v>
      </c>
      <c r="AI57" s="1">
        <f t="shared" si="22"/>
        <v>2.6076993003178632</v>
      </c>
      <c r="AJ57" s="1">
        <f t="shared" si="23"/>
        <v>2.6076993003178632</v>
      </c>
      <c r="AK57" s="1">
        <f t="shared" si="24"/>
        <v>2.3179549336158782</v>
      </c>
      <c r="AL57" s="1">
        <f t="shared" si="25"/>
        <v>2.6076993003178632</v>
      </c>
      <c r="AM57" s="1">
        <f t="shared" si="26"/>
        <v>1.7384662002119087</v>
      </c>
      <c r="AN57" s="1">
        <f t="shared" si="27"/>
        <v>2.1730827502648857</v>
      </c>
      <c r="AO57" s="1">
        <f t="shared" si="28"/>
        <v>1.4487218335099239</v>
      </c>
    </row>
    <row r="58" spans="1:41" x14ac:dyDescent="0.2">
      <c r="A58">
        <v>56</v>
      </c>
      <c r="B58" t="s">
        <v>38</v>
      </c>
      <c r="C58">
        <v>1</v>
      </c>
      <c r="D58">
        <v>3</v>
      </c>
      <c r="E58">
        <v>0</v>
      </c>
      <c r="F58">
        <v>3</v>
      </c>
      <c r="G58">
        <v>0</v>
      </c>
      <c r="H58">
        <v>0</v>
      </c>
      <c r="I58">
        <v>2</v>
      </c>
      <c r="J58">
        <v>1</v>
      </c>
      <c r="K58">
        <v>0</v>
      </c>
      <c r="L58">
        <v>2</v>
      </c>
      <c r="M58">
        <v>2</v>
      </c>
      <c r="N58">
        <v>3</v>
      </c>
      <c r="O58">
        <v>1</v>
      </c>
      <c r="P58">
        <v>2</v>
      </c>
      <c r="Q58">
        <v>0</v>
      </c>
      <c r="R58">
        <v>710.447</v>
      </c>
      <c r="S58">
        <v>25886.612000000001</v>
      </c>
      <c r="T58" s="1">
        <f t="shared" si="0"/>
        <v>2.7444572507209517</v>
      </c>
      <c r="U58" s="1">
        <f t="shared" si="1"/>
        <v>8.2333717521628547</v>
      </c>
      <c r="V58" s="1">
        <f t="shared" si="2"/>
        <v>0</v>
      </c>
      <c r="W58" s="1">
        <f t="shared" si="3"/>
        <v>8.2333717521628547</v>
      </c>
      <c r="X58" s="1">
        <f t="shared" si="4"/>
        <v>0</v>
      </c>
      <c r="Y58" s="1">
        <f t="shared" si="20"/>
        <v>0</v>
      </c>
      <c r="Z58" s="1">
        <f t="shared" si="21"/>
        <v>5.4889145014419034</v>
      </c>
      <c r="AA58" s="1">
        <f t="shared" si="5"/>
        <v>2.7444572507209517</v>
      </c>
      <c r="AB58" s="1">
        <f t="shared" si="6"/>
        <v>0</v>
      </c>
      <c r="AC58" s="1">
        <f t="shared" si="7"/>
        <v>5.4889145014419034</v>
      </c>
      <c r="AD58" s="1">
        <f t="shared" si="8"/>
        <v>5.4889145014419034</v>
      </c>
      <c r="AE58" s="1">
        <f t="shared" si="9"/>
        <v>8.2333717521628547</v>
      </c>
      <c r="AF58" s="1">
        <f t="shared" si="10"/>
        <v>2.7444572507209517</v>
      </c>
      <c r="AG58" s="1">
        <f t="shared" si="11"/>
        <v>5.4889145014419034</v>
      </c>
      <c r="AH58" s="1">
        <f t="shared" si="12"/>
        <v>0</v>
      </c>
      <c r="AI58" s="1">
        <f t="shared" si="22"/>
        <v>5.4889145014419034</v>
      </c>
      <c r="AJ58" s="1">
        <f t="shared" si="23"/>
        <v>4.1166858760814273</v>
      </c>
      <c r="AK58" s="1">
        <f t="shared" si="24"/>
        <v>1.8296381671473012</v>
      </c>
      <c r="AL58" s="1">
        <f t="shared" si="25"/>
        <v>1.3722286253604759</v>
      </c>
      <c r="AM58" s="1">
        <f t="shared" si="26"/>
        <v>5.4889145014419034</v>
      </c>
      <c r="AN58" s="1">
        <f t="shared" si="27"/>
        <v>6.8611431268023786</v>
      </c>
      <c r="AO58" s="1">
        <f t="shared" si="28"/>
        <v>2.7444572507209517</v>
      </c>
    </row>
    <row r="59" spans="1:41" x14ac:dyDescent="0.2">
      <c r="A59">
        <v>57</v>
      </c>
      <c r="B59" t="s">
        <v>38</v>
      </c>
      <c r="C59">
        <v>2</v>
      </c>
      <c r="D59">
        <v>3</v>
      </c>
      <c r="E59">
        <v>3</v>
      </c>
      <c r="F59">
        <v>3</v>
      </c>
      <c r="G59">
        <v>3</v>
      </c>
      <c r="H59">
        <v>3</v>
      </c>
      <c r="I59">
        <v>2</v>
      </c>
      <c r="J59">
        <v>2</v>
      </c>
      <c r="K59">
        <v>2</v>
      </c>
      <c r="L59">
        <v>3</v>
      </c>
      <c r="M59">
        <v>2</v>
      </c>
      <c r="N59">
        <v>3</v>
      </c>
      <c r="O59">
        <v>3</v>
      </c>
      <c r="P59">
        <v>1</v>
      </c>
      <c r="Q59">
        <v>1</v>
      </c>
      <c r="R59">
        <v>294.10199999999998</v>
      </c>
      <c r="S59">
        <v>25886.612000000001</v>
      </c>
      <c r="T59" s="1">
        <f t="shared" si="0"/>
        <v>2.2722324574571595</v>
      </c>
      <c r="U59" s="1">
        <f t="shared" si="1"/>
        <v>3.4083486861857395</v>
      </c>
      <c r="V59" s="1">
        <f t="shared" si="2"/>
        <v>3.4083486861857395</v>
      </c>
      <c r="W59" s="1">
        <f t="shared" si="3"/>
        <v>3.4083486861857395</v>
      </c>
      <c r="X59" s="1">
        <f t="shared" si="4"/>
        <v>3.4083486861857395</v>
      </c>
      <c r="Y59" s="1">
        <f t="shared" si="20"/>
        <v>3.4083486861857395</v>
      </c>
      <c r="Z59" s="1">
        <f t="shared" si="21"/>
        <v>2.2722324574571595</v>
      </c>
      <c r="AA59" s="1">
        <f t="shared" si="5"/>
        <v>2.2722324574571595</v>
      </c>
      <c r="AB59" s="1">
        <f t="shared" si="6"/>
        <v>2.2722324574571595</v>
      </c>
      <c r="AC59" s="1">
        <f t="shared" si="7"/>
        <v>3.4083486861857395</v>
      </c>
      <c r="AD59" s="1">
        <f t="shared" si="8"/>
        <v>2.2722324574571595</v>
      </c>
      <c r="AE59" s="1">
        <f t="shared" si="9"/>
        <v>3.4083486861857395</v>
      </c>
      <c r="AF59" s="1">
        <f t="shared" si="10"/>
        <v>3.4083486861857395</v>
      </c>
      <c r="AG59" s="1">
        <f t="shared" si="11"/>
        <v>1.1361162287285798</v>
      </c>
      <c r="AH59" s="1">
        <f t="shared" si="12"/>
        <v>1.1361162287285798</v>
      </c>
      <c r="AI59" s="1">
        <f t="shared" si="22"/>
        <v>2.8402905718214493</v>
      </c>
      <c r="AJ59" s="1">
        <f t="shared" si="23"/>
        <v>3.4083486861857395</v>
      </c>
      <c r="AK59" s="1">
        <f t="shared" si="24"/>
        <v>3.029643276609546</v>
      </c>
      <c r="AL59" s="1">
        <f t="shared" si="25"/>
        <v>2.2722324574571595</v>
      </c>
      <c r="AM59" s="1">
        <f t="shared" si="26"/>
        <v>3.4083486861857395</v>
      </c>
      <c r="AN59" s="1">
        <f t="shared" si="27"/>
        <v>2.8402905718214493</v>
      </c>
      <c r="AO59" s="1">
        <f t="shared" si="28"/>
        <v>1.8935270478809663</v>
      </c>
    </row>
    <row r="60" spans="1:41" x14ac:dyDescent="0.2">
      <c r="A60">
        <v>58</v>
      </c>
      <c r="B60" t="s">
        <v>39</v>
      </c>
      <c r="C60">
        <v>3</v>
      </c>
      <c r="D60">
        <v>3</v>
      </c>
      <c r="E60">
        <v>3</v>
      </c>
      <c r="F60">
        <v>2</v>
      </c>
      <c r="G60">
        <v>3</v>
      </c>
      <c r="H60">
        <v>3</v>
      </c>
      <c r="I60">
        <v>1</v>
      </c>
      <c r="J60">
        <v>2</v>
      </c>
      <c r="K60">
        <v>0</v>
      </c>
      <c r="L60">
        <v>2</v>
      </c>
      <c r="M60">
        <v>2</v>
      </c>
      <c r="N60">
        <v>2</v>
      </c>
      <c r="O60">
        <v>3</v>
      </c>
      <c r="P60">
        <v>3</v>
      </c>
      <c r="Q60">
        <v>1</v>
      </c>
      <c r="R60">
        <v>264.762</v>
      </c>
      <c r="S60">
        <v>25886.612000000001</v>
      </c>
      <c r="T60" s="1">
        <f t="shared" si="0"/>
        <v>3.0683273655123351</v>
      </c>
      <c r="U60" s="1">
        <f t="shared" si="1"/>
        <v>3.0683273655123351</v>
      </c>
      <c r="V60" s="1">
        <f t="shared" si="2"/>
        <v>3.0683273655123351</v>
      </c>
      <c r="W60" s="1">
        <f t="shared" si="3"/>
        <v>2.0455515770082235</v>
      </c>
      <c r="X60" s="1">
        <f t="shared" si="4"/>
        <v>3.0683273655123351</v>
      </c>
      <c r="Y60" s="1">
        <f t="shared" si="20"/>
        <v>3.0683273655123351</v>
      </c>
      <c r="Z60" s="1">
        <f t="shared" si="21"/>
        <v>1.0227757885041118</v>
      </c>
      <c r="AA60" s="1">
        <f t="shared" si="5"/>
        <v>2.0455515770082235</v>
      </c>
      <c r="AB60" s="1">
        <f t="shared" si="6"/>
        <v>0</v>
      </c>
      <c r="AC60" s="1">
        <f t="shared" si="7"/>
        <v>2.0455515770082235</v>
      </c>
      <c r="AD60" s="1">
        <f t="shared" si="8"/>
        <v>2.0455515770082235</v>
      </c>
      <c r="AE60" s="1">
        <f t="shared" si="9"/>
        <v>2.0455515770082235</v>
      </c>
      <c r="AF60" s="1">
        <f t="shared" si="10"/>
        <v>3.0683273655123351</v>
      </c>
      <c r="AG60" s="1">
        <f t="shared" si="11"/>
        <v>3.0683273655123351</v>
      </c>
      <c r="AH60" s="1">
        <f t="shared" si="12"/>
        <v>1.0227757885041118</v>
      </c>
      <c r="AI60" s="1">
        <f t="shared" si="22"/>
        <v>3.0683273655123351</v>
      </c>
      <c r="AJ60" s="1">
        <f t="shared" si="23"/>
        <v>2.5569394712602795</v>
      </c>
      <c r="AK60" s="1">
        <f t="shared" si="24"/>
        <v>2.3864768398429272</v>
      </c>
      <c r="AL60" s="1">
        <f t="shared" si="25"/>
        <v>1.0227757885041118</v>
      </c>
      <c r="AM60" s="1">
        <f t="shared" si="26"/>
        <v>2.0455515770082235</v>
      </c>
      <c r="AN60" s="1">
        <f t="shared" si="27"/>
        <v>2.0455515770082235</v>
      </c>
      <c r="AO60" s="1">
        <f t="shared" si="28"/>
        <v>2.3864768398429272</v>
      </c>
    </row>
    <row r="61" spans="1:41" x14ac:dyDescent="0.2">
      <c r="A61">
        <v>59</v>
      </c>
      <c r="B61" t="s">
        <v>40</v>
      </c>
      <c r="C61">
        <v>2</v>
      </c>
      <c r="D61">
        <v>2</v>
      </c>
      <c r="E61">
        <v>3</v>
      </c>
      <c r="F61">
        <v>2</v>
      </c>
      <c r="G61">
        <v>3</v>
      </c>
      <c r="H61">
        <v>3</v>
      </c>
      <c r="I61">
        <v>3</v>
      </c>
      <c r="J61">
        <v>2</v>
      </c>
      <c r="K61">
        <v>0</v>
      </c>
      <c r="L61">
        <v>2</v>
      </c>
      <c r="M61">
        <v>2</v>
      </c>
      <c r="N61">
        <v>2</v>
      </c>
      <c r="O61">
        <v>1</v>
      </c>
      <c r="P61">
        <v>2</v>
      </c>
      <c r="Q61">
        <v>0</v>
      </c>
      <c r="R61">
        <v>192.786</v>
      </c>
      <c r="S61">
        <v>25886.612000000001</v>
      </c>
      <c r="T61" s="1">
        <f t="shared" si="0"/>
        <v>1.4894649017801169</v>
      </c>
      <c r="U61" s="1">
        <f t="shared" si="1"/>
        <v>1.4894649017801169</v>
      </c>
      <c r="V61" s="1">
        <f t="shared" si="2"/>
        <v>2.2341973526701753</v>
      </c>
      <c r="W61" s="1">
        <f t="shared" si="3"/>
        <v>1.4894649017801169</v>
      </c>
      <c r="X61" s="1">
        <f t="shared" si="4"/>
        <v>2.2341973526701753</v>
      </c>
      <c r="Y61" s="1">
        <f t="shared" si="20"/>
        <v>2.2341973526701753</v>
      </c>
      <c r="Z61" s="1">
        <f t="shared" si="21"/>
        <v>2.2341973526701753</v>
      </c>
      <c r="AA61" s="1">
        <f t="shared" si="5"/>
        <v>1.4894649017801169</v>
      </c>
      <c r="AB61" s="1">
        <f t="shared" si="6"/>
        <v>0</v>
      </c>
      <c r="AC61" s="1">
        <f t="shared" si="7"/>
        <v>1.4894649017801169</v>
      </c>
      <c r="AD61" s="1">
        <f t="shared" si="8"/>
        <v>1.4894649017801169</v>
      </c>
      <c r="AE61" s="1">
        <f t="shared" si="9"/>
        <v>1.4894649017801169</v>
      </c>
      <c r="AF61" s="1">
        <f t="shared" si="10"/>
        <v>0.74473245089005846</v>
      </c>
      <c r="AG61" s="1">
        <f t="shared" si="11"/>
        <v>1.4894649017801169</v>
      </c>
      <c r="AH61" s="1">
        <f t="shared" si="12"/>
        <v>0</v>
      </c>
      <c r="AI61" s="1">
        <f t="shared" si="22"/>
        <v>1.4894649017801169</v>
      </c>
      <c r="AJ61" s="1">
        <f t="shared" si="23"/>
        <v>1.861831127225146</v>
      </c>
      <c r="AK61" s="1">
        <f t="shared" si="24"/>
        <v>2.2341973526701753</v>
      </c>
      <c r="AL61" s="1">
        <f t="shared" si="25"/>
        <v>0.74473245089005846</v>
      </c>
      <c r="AM61" s="1">
        <f t="shared" si="26"/>
        <v>1.4894649017801169</v>
      </c>
      <c r="AN61" s="1">
        <f t="shared" si="27"/>
        <v>1.4894649017801169</v>
      </c>
      <c r="AO61" s="1">
        <f t="shared" si="28"/>
        <v>0.74473245089005846</v>
      </c>
    </row>
    <row r="62" spans="1:41" x14ac:dyDescent="0.2">
      <c r="A62">
        <v>60</v>
      </c>
      <c r="B62" t="s">
        <v>41</v>
      </c>
      <c r="C62">
        <v>1</v>
      </c>
      <c r="D62">
        <v>2</v>
      </c>
      <c r="E62">
        <v>0</v>
      </c>
      <c r="F62">
        <v>2</v>
      </c>
      <c r="G62">
        <v>3</v>
      </c>
      <c r="H62">
        <v>2</v>
      </c>
      <c r="I62">
        <v>1</v>
      </c>
      <c r="J62">
        <v>2</v>
      </c>
      <c r="K62">
        <v>2</v>
      </c>
      <c r="L62">
        <v>2</v>
      </c>
      <c r="M62">
        <v>2</v>
      </c>
      <c r="N62">
        <v>2</v>
      </c>
      <c r="O62">
        <v>2</v>
      </c>
      <c r="P62">
        <v>1</v>
      </c>
      <c r="Q62">
        <v>2</v>
      </c>
      <c r="R62">
        <v>463.767</v>
      </c>
      <c r="S62">
        <v>25886.612000000001</v>
      </c>
      <c r="T62" s="1">
        <f t="shared" si="0"/>
        <v>1.7915322406810128</v>
      </c>
      <c r="U62" s="1">
        <f t="shared" si="1"/>
        <v>3.5830644813620256</v>
      </c>
      <c r="V62" s="1">
        <f t="shared" si="2"/>
        <v>0</v>
      </c>
      <c r="W62" s="1">
        <f t="shared" si="3"/>
        <v>3.5830644813620256</v>
      </c>
      <c r="X62" s="1">
        <f t="shared" si="4"/>
        <v>5.3745967220430382</v>
      </c>
      <c r="Y62" s="1">
        <f t="shared" si="20"/>
        <v>3.5830644813620256</v>
      </c>
      <c r="Z62" s="1">
        <f t="shared" si="21"/>
        <v>1.7915322406810128</v>
      </c>
      <c r="AA62" s="1">
        <f t="shared" si="5"/>
        <v>3.5830644813620256</v>
      </c>
      <c r="AB62" s="1">
        <f t="shared" si="6"/>
        <v>3.5830644813620256</v>
      </c>
      <c r="AC62" s="1">
        <f t="shared" si="7"/>
        <v>3.5830644813620256</v>
      </c>
      <c r="AD62" s="1">
        <f t="shared" si="8"/>
        <v>3.5830644813620256</v>
      </c>
      <c r="AE62" s="1">
        <f t="shared" si="9"/>
        <v>3.5830644813620256</v>
      </c>
      <c r="AF62" s="1">
        <f t="shared" si="10"/>
        <v>3.5830644813620256</v>
      </c>
      <c r="AG62" s="1">
        <f t="shared" si="11"/>
        <v>1.7915322406810128</v>
      </c>
      <c r="AH62" s="1">
        <f t="shared" si="12"/>
        <v>3.5830644813620256</v>
      </c>
      <c r="AI62" s="1">
        <f t="shared" si="22"/>
        <v>2.6872983610215191</v>
      </c>
      <c r="AJ62" s="1">
        <f t="shared" si="23"/>
        <v>1.7915322406810128</v>
      </c>
      <c r="AK62" s="1">
        <f t="shared" si="24"/>
        <v>3.5830644813620256</v>
      </c>
      <c r="AL62" s="1">
        <f t="shared" si="25"/>
        <v>3.5830644813620256</v>
      </c>
      <c r="AM62" s="1">
        <f t="shared" si="26"/>
        <v>3.5830644813620256</v>
      </c>
      <c r="AN62" s="1">
        <f t="shared" si="27"/>
        <v>3.5830644813620256</v>
      </c>
      <c r="AO62" s="1">
        <f t="shared" si="28"/>
        <v>2.9858870678016878</v>
      </c>
    </row>
    <row r="63" spans="1:41" x14ac:dyDescent="0.2">
      <c r="A63">
        <v>61</v>
      </c>
      <c r="B63" t="s">
        <v>42</v>
      </c>
      <c r="C63">
        <v>2</v>
      </c>
      <c r="D63">
        <v>2</v>
      </c>
      <c r="E63">
        <v>2</v>
      </c>
      <c r="F63">
        <v>3</v>
      </c>
      <c r="G63">
        <v>3</v>
      </c>
      <c r="H63">
        <v>3</v>
      </c>
      <c r="I63">
        <v>3</v>
      </c>
      <c r="J63">
        <v>1</v>
      </c>
      <c r="K63">
        <v>1</v>
      </c>
      <c r="L63">
        <v>2</v>
      </c>
      <c r="M63">
        <v>2</v>
      </c>
      <c r="N63">
        <v>1</v>
      </c>
      <c r="O63">
        <v>1</v>
      </c>
      <c r="P63">
        <v>1</v>
      </c>
      <c r="Q63">
        <v>0</v>
      </c>
      <c r="R63">
        <v>126.331</v>
      </c>
      <c r="S63">
        <v>25886.612000000001</v>
      </c>
      <c r="T63" s="1">
        <f t="shared" si="0"/>
        <v>0.97603348016341418</v>
      </c>
      <c r="U63" s="1">
        <f t="shared" si="1"/>
        <v>0.97603348016341418</v>
      </c>
      <c r="V63" s="1">
        <f t="shared" si="2"/>
        <v>0.97603348016341418</v>
      </c>
      <c r="W63" s="1">
        <f t="shared" si="3"/>
        <v>1.4640502202451213</v>
      </c>
      <c r="X63" s="1">
        <f t="shared" si="4"/>
        <v>1.4640502202451213</v>
      </c>
      <c r="Y63" s="1">
        <f t="shared" si="20"/>
        <v>1.4640502202451213</v>
      </c>
      <c r="Z63" s="1">
        <f t="shared" si="21"/>
        <v>1.4640502202451213</v>
      </c>
      <c r="AA63" s="1">
        <f t="shared" si="5"/>
        <v>0.48801674008170709</v>
      </c>
      <c r="AB63" s="1">
        <f t="shared" si="6"/>
        <v>0.48801674008170709</v>
      </c>
      <c r="AC63" s="1">
        <f t="shared" si="7"/>
        <v>0.97603348016341418</v>
      </c>
      <c r="AD63" s="1">
        <f t="shared" si="8"/>
        <v>0.97603348016341418</v>
      </c>
      <c r="AE63" s="1">
        <f t="shared" si="9"/>
        <v>0.48801674008170709</v>
      </c>
      <c r="AF63" s="1">
        <f t="shared" si="10"/>
        <v>0.48801674008170709</v>
      </c>
      <c r="AG63" s="1">
        <f t="shared" si="11"/>
        <v>0.48801674008170709</v>
      </c>
      <c r="AH63" s="1">
        <f t="shared" si="12"/>
        <v>0</v>
      </c>
      <c r="AI63" s="1">
        <f t="shared" si="22"/>
        <v>0.97603348016341418</v>
      </c>
      <c r="AJ63" s="1">
        <f t="shared" si="23"/>
        <v>1.2200418502042678</v>
      </c>
      <c r="AK63" s="1">
        <f t="shared" si="24"/>
        <v>1.4640502202451213</v>
      </c>
      <c r="AL63" s="1">
        <f t="shared" si="25"/>
        <v>0.48801674008170709</v>
      </c>
      <c r="AM63" s="1">
        <f t="shared" si="26"/>
        <v>0.97603348016341418</v>
      </c>
      <c r="AN63" s="1">
        <f t="shared" si="27"/>
        <v>0.73202511012256066</v>
      </c>
      <c r="AO63" s="1">
        <f t="shared" si="28"/>
        <v>0.32534449338780475</v>
      </c>
    </row>
    <row r="64" spans="1:41" x14ac:dyDescent="0.2">
      <c r="A64">
        <v>62</v>
      </c>
      <c r="B64" t="s">
        <v>39</v>
      </c>
      <c r="C64">
        <v>2</v>
      </c>
      <c r="D64">
        <v>3</v>
      </c>
      <c r="E64">
        <v>3</v>
      </c>
      <c r="F64">
        <v>2</v>
      </c>
      <c r="G64">
        <v>3</v>
      </c>
      <c r="H64">
        <v>3</v>
      </c>
      <c r="I64">
        <v>2</v>
      </c>
      <c r="J64">
        <v>2</v>
      </c>
      <c r="K64">
        <v>0</v>
      </c>
      <c r="L64">
        <v>2</v>
      </c>
      <c r="M64">
        <v>2</v>
      </c>
      <c r="N64">
        <v>2</v>
      </c>
      <c r="O64">
        <v>3</v>
      </c>
      <c r="P64">
        <v>2</v>
      </c>
      <c r="Q64">
        <v>2</v>
      </c>
      <c r="R64">
        <v>148.84399999999999</v>
      </c>
      <c r="S64">
        <v>25886.612000000001</v>
      </c>
      <c r="T64" s="1">
        <f t="shared" si="0"/>
        <v>1.1499689492004592</v>
      </c>
      <c r="U64" s="1">
        <f t="shared" si="1"/>
        <v>1.7249534238006889</v>
      </c>
      <c r="V64" s="1">
        <f t="shared" si="2"/>
        <v>1.7249534238006889</v>
      </c>
      <c r="W64" s="1">
        <f t="shared" si="3"/>
        <v>1.1499689492004592</v>
      </c>
      <c r="X64" s="1">
        <f t="shared" si="4"/>
        <v>1.7249534238006889</v>
      </c>
      <c r="Y64" s="1">
        <f t="shared" si="20"/>
        <v>1.7249534238006889</v>
      </c>
      <c r="Z64" s="1">
        <f t="shared" si="21"/>
        <v>1.1499689492004592</v>
      </c>
      <c r="AA64" s="1">
        <f t="shared" si="5"/>
        <v>1.1499689492004592</v>
      </c>
      <c r="AB64" s="1">
        <f t="shared" si="6"/>
        <v>0</v>
      </c>
      <c r="AC64" s="1">
        <f t="shared" si="7"/>
        <v>1.1499689492004592</v>
      </c>
      <c r="AD64" s="1">
        <f t="shared" si="8"/>
        <v>1.1499689492004592</v>
      </c>
      <c r="AE64" s="1">
        <f t="shared" si="9"/>
        <v>1.1499689492004592</v>
      </c>
      <c r="AF64" s="1">
        <f t="shared" si="10"/>
        <v>1.7249534238006889</v>
      </c>
      <c r="AG64" s="1">
        <f t="shared" si="11"/>
        <v>1.1499689492004592</v>
      </c>
      <c r="AH64" s="1">
        <f t="shared" si="12"/>
        <v>1.1499689492004592</v>
      </c>
      <c r="AI64" s="1">
        <f t="shared" si="22"/>
        <v>1.437461186500574</v>
      </c>
      <c r="AJ64" s="1">
        <f t="shared" si="23"/>
        <v>1.437461186500574</v>
      </c>
      <c r="AK64" s="1">
        <f t="shared" si="24"/>
        <v>1.5332919322672789</v>
      </c>
      <c r="AL64" s="1">
        <f t="shared" si="25"/>
        <v>0.57498447460022961</v>
      </c>
      <c r="AM64" s="1">
        <f t="shared" si="26"/>
        <v>1.1499689492004592</v>
      </c>
      <c r="AN64" s="1">
        <f t="shared" si="27"/>
        <v>1.1499689492004592</v>
      </c>
      <c r="AO64" s="1">
        <f t="shared" si="28"/>
        <v>1.3416304407338691</v>
      </c>
    </row>
    <row r="65" spans="1:41" x14ac:dyDescent="0.2">
      <c r="A65">
        <v>63</v>
      </c>
      <c r="B65" t="s">
        <v>39</v>
      </c>
      <c r="C65">
        <v>2</v>
      </c>
      <c r="D65">
        <v>3</v>
      </c>
      <c r="E65">
        <v>3</v>
      </c>
      <c r="F65">
        <v>2</v>
      </c>
      <c r="G65">
        <v>3</v>
      </c>
      <c r="H65">
        <v>3</v>
      </c>
      <c r="I65">
        <v>2</v>
      </c>
      <c r="J65">
        <v>2</v>
      </c>
      <c r="K65">
        <v>0</v>
      </c>
      <c r="L65">
        <v>2</v>
      </c>
      <c r="M65">
        <v>1</v>
      </c>
      <c r="N65">
        <v>2</v>
      </c>
      <c r="O65">
        <v>2</v>
      </c>
      <c r="P65">
        <v>2</v>
      </c>
      <c r="Q65">
        <v>1</v>
      </c>
      <c r="R65">
        <v>110.092</v>
      </c>
      <c r="S65">
        <v>25886.612000000001</v>
      </c>
      <c r="T65" s="1">
        <f t="shared" si="0"/>
        <v>0.85057094377587927</v>
      </c>
      <c r="U65" s="1">
        <f t="shared" si="1"/>
        <v>1.275856415663819</v>
      </c>
      <c r="V65" s="1">
        <f t="shared" si="2"/>
        <v>1.275856415663819</v>
      </c>
      <c r="W65" s="1">
        <f t="shared" si="3"/>
        <v>0.85057094377587927</v>
      </c>
      <c r="X65" s="1">
        <f t="shared" si="4"/>
        <v>1.275856415663819</v>
      </c>
      <c r="Y65" s="1">
        <f t="shared" si="20"/>
        <v>1.275856415663819</v>
      </c>
      <c r="Z65" s="1">
        <f t="shared" si="21"/>
        <v>0.85057094377587927</v>
      </c>
      <c r="AA65" s="1">
        <f t="shared" si="5"/>
        <v>0.85057094377587927</v>
      </c>
      <c r="AB65" s="1">
        <f t="shared" si="6"/>
        <v>0</v>
      </c>
      <c r="AC65" s="1">
        <f t="shared" si="7"/>
        <v>0.85057094377587927</v>
      </c>
      <c r="AD65" s="1">
        <f t="shared" si="8"/>
        <v>0.42528547188793964</v>
      </c>
      <c r="AE65" s="1">
        <f t="shared" si="9"/>
        <v>0.85057094377587927</v>
      </c>
      <c r="AF65" s="1">
        <f t="shared" si="10"/>
        <v>0.85057094377587927</v>
      </c>
      <c r="AG65" s="1">
        <f t="shared" si="11"/>
        <v>0.85057094377587927</v>
      </c>
      <c r="AH65" s="1">
        <f t="shared" si="12"/>
        <v>0.42528547188793964</v>
      </c>
      <c r="AI65" s="1">
        <f t="shared" si="22"/>
        <v>1.063213679719849</v>
      </c>
      <c r="AJ65" s="1">
        <f t="shared" si="23"/>
        <v>1.063213679719849</v>
      </c>
      <c r="AK65" s="1">
        <f t="shared" si="24"/>
        <v>1.1340945917011724</v>
      </c>
      <c r="AL65" s="1">
        <f t="shared" si="25"/>
        <v>0.42528547188793964</v>
      </c>
      <c r="AM65" s="1">
        <f t="shared" si="26"/>
        <v>0.85057094377587927</v>
      </c>
      <c r="AN65" s="1">
        <f t="shared" si="27"/>
        <v>0.63792820783190951</v>
      </c>
      <c r="AO65" s="1">
        <f t="shared" si="28"/>
        <v>0.70880911981323269</v>
      </c>
    </row>
    <row r="66" spans="1:41" x14ac:dyDescent="0.2">
      <c r="A66">
        <v>64</v>
      </c>
      <c r="B66" t="s">
        <v>43</v>
      </c>
      <c r="C66">
        <v>2</v>
      </c>
      <c r="D66">
        <v>2</v>
      </c>
      <c r="E66">
        <v>3</v>
      </c>
      <c r="F66">
        <v>3</v>
      </c>
      <c r="G66">
        <v>2</v>
      </c>
      <c r="H66">
        <v>2</v>
      </c>
      <c r="I66">
        <v>1</v>
      </c>
      <c r="J66">
        <v>2</v>
      </c>
      <c r="K66">
        <v>0</v>
      </c>
      <c r="L66">
        <v>2</v>
      </c>
      <c r="M66">
        <v>2</v>
      </c>
      <c r="N66">
        <v>2</v>
      </c>
      <c r="O66">
        <v>2</v>
      </c>
      <c r="P66">
        <v>1</v>
      </c>
      <c r="Q66">
        <v>1</v>
      </c>
      <c r="R66">
        <v>142.155</v>
      </c>
      <c r="S66">
        <v>25886.612000000001</v>
      </c>
      <c r="T66" s="1">
        <f t="shared" si="0"/>
        <v>1.0982897259788187</v>
      </c>
      <c r="U66" s="1">
        <f t="shared" si="1"/>
        <v>1.0982897259788187</v>
      </c>
      <c r="V66" s="1">
        <f t="shared" si="2"/>
        <v>1.647434588968228</v>
      </c>
      <c r="W66" s="1">
        <f t="shared" si="3"/>
        <v>1.647434588968228</v>
      </c>
      <c r="X66" s="1">
        <f t="shared" si="4"/>
        <v>1.0982897259788187</v>
      </c>
      <c r="Y66" s="1">
        <f t="shared" si="20"/>
        <v>1.0982897259788187</v>
      </c>
      <c r="Z66" s="1">
        <f t="shared" si="21"/>
        <v>0.54914486298940934</v>
      </c>
      <c r="AA66" s="1">
        <f t="shared" si="5"/>
        <v>1.0982897259788187</v>
      </c>
      <c r="AB66" s="1">
        <f t="shared" si="6"/>
        <v>0</v>
      </c>
      <c r="AC66" s="1">
        <f t="shared" si="7"/>
        <v>1.0982897259788187</v>
      </c>
      <c r="AD66" s="1">
        <f t="shared" si="8"/>
        <v>1.0982897259788187</v>
      </c>
      <c r="AE66" s="1">
        <f t="shared" si="9"/>
        <v>1.0982897259788187</v>
      </c>
      <c r="AF66" s="1">
        <f t="shared" si="10"/>
        <v>1.0982897259788187</v>
      </c>
      <c r="AG66" s="1">
        <f t="shared" si="11"/>
        <v>0.54914486298940934</v>
      </c>
      <c r="AH66" s="1">
        <f t="shared" si="12"/>
        <v>0.54914486298940934</v>
      </c>
      <c r="AI66" s="1">
        <f t="shared" si="22"/>
        <v>1.0982897259788187</v>
      </c>
      <c r="AJ66" s="1">
        <f t="shared" si="23"/>
        <v>1.647434588968228</v>
      </c>
      <c r="AK66" s="1">
        <f t="shared" si="24"/>
        <v>0.91524143831568228</v>
      </c>
      <c r="AL66" s="1">
        <f t="shared" si="25"/>
        <v>0.54914486298940934</v>
      </c>
      <c r="AM66" s="1">
        <f t="shared" si="26"/>
        <v>1.0982897259788187</v>
      </c>
      <c r="AN66" s="1">
        <f t="shared" si="27"/>
        <v>1.0982897259788187</v>
      </c>
      <c r="AO66" s="1">
        <f t="shared" si="28"/>
        <v>0.73219315065254575</v>
      </c>
    </row>
    <row r="67" spans="1:41" x14ac:dyDescent="0.2">
      <c r="A67">
        <v>65</v>
      </c>
      <c r="B67" t="s">
        <v>43</v>
      </c>
      <c r="C67">
        <v>2</v>
      </c>
      <c r="D67">
        <v>1</v>
      </c>
      <c r="E67">
        <v>3</v>
      </c>
      <c r="F67">
        <v>3</v>
      </c>
      <c r="G67">
        <v>3</v>
      </c>
      <c r="H67">
        <v>3</v>
      </c>
      <c r="I67">
        <v>1</v>
      </c>
      <c r="J67">
        <v>2</v>
      </c>
      <c r="K67">
        <v>0</v>
      </c>
      <c r="L67">
        <v>2</v>
      </c>
      <c r="M67">
        <v>2</v>
      </c>
      <c r="N67">
        <v>3</v>
      </c>
      <c r="O67">
        <v>2</v>
      </c>
      <c r="P67">
        <v>1</v>
      </c>
      <c r="Q67">
        <v>0</v>
      </c>
      <c r="R67">
        <v>129.864</v>
      </c>
      <c r="S67">
        <v>25886.612000000001</v>
      </c>
      <c r="T67" s="1">
        <f t="shared" ref="T67:T130" si="29">(((R67*100)/S67)*C67)</f>
        <v>1.0033294430341058</v>
      </c>
      <c r="U67" s="1">
        <f t="shared" ref="U67:U130" si="30">(((R67*100)/S67)*D67)</f>
        <v>0.50166472151705288</v>
      </c>
      <c r="V67" s="1">
        <f t="shared" ref="V67:V130" si="31">(((R67*100)/S67)*E67)</f>
        <v>1.5049941645511586</v>
      </c>
      <c r="W67" s="1">
        <f t="shared" ref="W67:W130" si="32">(((R67*100)/S67)*F67)</f>
        <v>1.5049941645511586</v>
      </c>
      <c r="X67" s="1">
        <f t="shared" ref="X67:X130" si="33">(((R67*100)/S67)*G67)</f>
        <v>1.5049941645511586</v>
      </c>
      <c r="Y67" s="1">
        <f t="shared" si="20"/>
        <v>1.5049941645511586</v>
      </c>
      <c r="Z67" s="1">
        <f t="shared" si="21"/>
        <v>0.50166472151705288</v>
      </c>
      <c r="AA67" s="1">
        <f t="shared" ref="AA67:AA130" si="34">(((R67*100)/S67)*J67)</f>
        <v>1.0033294430341058</v>
      </c>
      <c r="AB67" s="1">
        <f t="shared" ref="AB67:AB130" si="35">(((R67*100)/S67)*K67)</f>
        <v>0</v>
      </c>
      <c r="AC67" s="1">
        <f t="shared" ref="AC67:AC130" si="36">(((R67*100)/S67)*L67)</f>
        <v>1.0033294430341058</v>
      </c>
      <c r="AD67" s="1">
        <f t="shared" ref="AD67:AD130" si="37">(((R67*100)/S67)*M67)</f>
        <v>1.0033294430341058</v>
      </c>
      <c r="AE67" s="1">
        <f t="shared" ref="AE67:AE130" si="38">(((R67*100)/S67)*N67)</f>
        <v>1.5049941645511586</v>
      </c>
      <c r="AF67" s="1">
        <f t="shared" ref="AF67:AF130" si="39">(((R67*100)/S67)*O67)</f>
        <v>1.0033294430341058</v>
      </c>
      <c r="AG67" s="1">
        <f t="shared" ref="AG67:AG130" si="40">(((R67*100)/S67)*P67)</f>
        <v>0.50166472151705288</v>
      </c>
      <c r="AH67" s="1">
        <f t="shared" ref="AH67:AH130" si="41">(((R67*100)/S67)*Q67)</f>
        <v>0</v>
      </c>
      <c r="AI67" s="1">
        <f t="shared" si="22"/>
        <v>0.75249708227557932</v>
      </c>
      <c r="AJ67" s="1">
        <f t="shared" si="23"/>
        <v>1.5049941645511586</v>
      </c>
      <c r="AK67" s="1">
        <f t="shared" si="24"/>
        <v>1.1705510168731232</v>
      </c>
      <c r="AL67" s="1">
        <f t="shared" si="25"/>
        <v>0.50166472151705288</v>
      </c>
      <c r="AM67" s="1">
        <f t="shared" si="26"/>
        <v>1.0033294430341058</v>
      </c>
      <c r="AN67" s="1">
        <f t="shared" si="27"/>
        <v>1.2541618037926323</v>
      </c>
      <c r="AO67" s="1">
        <f t="shared" si="28"/>
        <v>0.50166472151705288</v>
      </c>
    </row>
    <row r="68" spans="1:41" x14ac:dyDescent="0.2">
      <c r="A68">
        <v>66</v>
      </c>
      <c r="B68" t="s">
        <v>39</v>
      </c>
      <c r="C68">
        <v>2</v>
      </c>
      <c r="D68">
        <v>1</v>
      </c>
      <c r="E68">
        <v>3</v>
      </c>
      <c r="F68">
        <v>3</v>
      </c>
      <c r="G68">
        <v>3</v>
      </c>
      <c r="H68">
        <v>1</v>
      </c>
      <c r="I68">
        <v>1</v>
      </c>
      <c r="J68">
        <v>2</v>
      </c>
      <c r="K68">
        <v>0</v>
      </c>
      <c r="L68">
        <v>1</v>
      </c>
      <c r="M68">
        <v>3</v>
      </c>
      <c r="N68">
        <v>2</v>
      </c>
      <c r="O68">
        <v>1</v>
      </c>
      <c r="P68">
        <v>2</v>
      </c>
      <c r="Q68">
        <v>0</v>
      </c>
      <c r="R68">
        <v>60.860999999999997</v>
      </c>
      <c r="S68">
        <v>25886.612000000001</v>
      </c>
      <c r="T68" s="1">
        <f t="shared" si="29"/>
        <v>0.47021216990465953</v>
      </c>
      <c r="U68" s="1">
        <f t="shared" si="30"/>
        <v>0.23510608495232976</v>
      </c>
      <c r="V68" s="1">
        <f t="shared" si="31"/>
        <v>0.70531825485698929</v>
      </c>
      <c r="W68" s="1">
        <f t="shared" si="32"/>
        <v>0.70531825485698929</v>
      </c>
      <c r="X68" s="1">
        <f t="shared" si="33"/>
        <v>0.70531825485698929</v>
      </c>
      <c r="Y68" s="1">
        <f t="shared" ref="Y68:Y131" si="42">(((R68*100)/S68)*H68)</f>
        <v>0.23510608495232976</v>
      </c>
      <c r="Z68" s="1">
        <f t="shared" ref="Z68:Z131" si="43">(((R68*100)/S68)*I68)</f>
        <v>0.23510608495232976</v>
      </c>
      <c r="AA68" s="1">
        <f t="shared" si="34"/>
        <v>0.47021216990465953</v>
      </c>
      <c r="AB68" s="1">
        <f t="shared" si="35"/>
        <v>0</v>
      </c>
      <c r="AC68" s="1">
        <f t="shared" si="36"/>
        <v>0.23510608495232976</v>
      </c>
      <c r="AD68" s="1">
        <f t="shared" si="37"/>
        <v>0.70531825485698929</v>
      </c>
      <c r="AE68" s="1">
        <f t="shared" si="38"/>
        <v>0.47021216990465953</v>
      </c>
      <c r="AF68" s="1">
        <f t="shared" si="39"/>
        <v>0.23510608495232976</v>
      </c>
      <c r="AG68" s="1">
        <f t="shared" si="40"/>
        <v>0.47021216990465953</v>
      </c>
      <c r="AH68" s="1">
        <f t="shared" si="41"/>
        <v>0</v>
      </c>
      <c r="AI68" s="1">
        <f t="shared" si="22"/>
        <v>0.35265912742849465</v>
      </c>
      <c r="AJ68" s="1">
        <f t="shared" si="23"/>
        <v>0.70531825485698929</v>
      </c>
      <c r="AK68" s="1">
        <f t="shared" si="24"/>
        <v>0.39184347492054955</v>
      </c>
      <c r="AL68" s="1">
        <f t="shared" si="25"/>
        <v>0.23510608495232976</v>
      </c>
      <c r="AM68" s="1">
        <f t="shared" si="26"/>
        <v>0.23510608495232976</v>
      </c>
      <c r="AN68" s="1">
        <f t="shared" si="27"/>
        <v>0.58776521238082435</v>
      </c>
      <c r="AO68" s="1">
        <f t="shared" si="28"/>
        <v>0.23510608495232976</v>
      </c>
    </row>
    <row r="69" spans="1:41" x14ac:dyDescent="0.2">
      <c r="A69">
        <v>67</v>
      </c>
      <c r="B69" t="s">
        <v>44</v>
      </c>
      <c r="C69">
        <v>3</v>
      </c>
      <c r="D69">
        <v>2</v>
      </c>
      <c r="E69">
        <v>2</v>
      </c>
      <c r="F69">
        <v>3</v>
      </c>
      <c r="G69">
        <v>3</v>
      </c>
      <c r="H69">
        <v>3</v>
      </c>
      <c r="I69">
        <v>2</v>
      </c>
      <c r="J69">
        <v>1</v>
      </c>
      <c r="K69">
        <v>0</v>
      </c>
      <c r="L69">
        <v>2</v>
      </c>
      <c r="M69">
        <v>3</v>
      </c>
      <c r="N69">
        <v>2</v>
      </c>
      <c r="O69">
        <v>2</v>
      </c>
      <c r="P69">
        <v>2</v>
      </c>
      <c r="Q69">
        <v>1</v>
      </c>
      <c r="R69">
        <v>165.29599999999999</v>
      </c>
      <c r="S69">
        <v>25886.612000000001</v>
      </c>
      <c r="T69" s="1">
        <f t="shared" si="29"/>
        <v>1.9156156858224627</v>
      </c>
      <c r="U69" s="1">
        <f t="shared" si="30"/>
        <v>1.2770771238816419</v>
      </c>
      <c r="V69" s="1">
        <f t="shared" si="31"/>
        <v>1.2770771238816419</v>
      </c>
      <c r="W69" s="1">
        <f t="shared" si="32"/>
        <v>1.9156156858224627</v>
      </c>
      <c r="X69" s="1">
        <f t="shared" si="33"/>
        <v>1.9156156858224627</v>
      </c>
      <c r="Y69" s="1">
        <f t="shared" si="42"/>
        <v>1.9156156858224627</v>
      </c>
      <c r="Z69" s="1">
        <f t="shared" si="43"/>
        <v>1.2770771238816419</v>
      </c>
      <c r="AA69" s="1">
        <f t="shared" si="34"/>
        <v>0.63853856194082093</v>
      </c>
      <c r="AB69" s="1">
        <f t="shared" si="35"/>
        <v>0</v>
      </c>
      <c r="AC69" s="1">
        <f t="shared" si="36"/>
        <v>1.2770771238816419</v>
      </c>
      <c r="AD69" s="1">
        <f t="shared" si="37"/>
        <v>1.9156156858224627</v>
      </c>
      <c r="AE69" s="1">
        <f t="shared" si="38"/>
        <v>1.2770771238816419</v>
      </c>
      <c r="AF69" s="1">
        <f t="shared" si="39"/>
        <v>1.2770771238816419</v>
      </c>
      <c r="AG69" s="1">
        <f t="shared" si="40"/>
        <v>1.2770771238816419</v>
      </c>
      <c r="AH69" s="1">
        <f t="shared" si="41"/>
        <v>0.63853856194082093</v>
      </c>
      <c r="AI69" s="1">
        <f t="shared" si="22"/>
        <v>1.5963464048520524</v>
      </c>
      <c r="AJ69" s="1">
        <f t="shared" si="23"/>
        <v>1.5963464048520524</v>
      </c>
      <c r="AK69" s="1">
        <f t="shared" si="24"/>
        <v>1.7027694985088557</v>
      </c>
      <c r="AL69" s="1">
        <f t="shared" si="25"/>
        <v>0.31926928097041046</v>
      </c>
      <c r="AM69" s="1">
        <f t="shared" si="26"/>
        <v>1.2770771238816419</v>
      </c>
      <c r="AN69" s="1">
        <f t="shared" si="27"/>
        <v>1.5963464048520524</v>
      </c>
      <c r="AO69" s="1">
        <f t="shared" si="28"/>
        <v>1.0642309365680349</v>
      </c>
    </row>
    <row r="70" spans="1:41" x14ac:dyDescent="0.2">
      <c r="A70">
        <v>68</v>
      </c>
      <c r="B70" t="s">
        <v>38</v>
      </c>
      <c r="C70">
        <v>2</v>
      </c>
      <c r="D70">
        <v>3</v>
      </c>
      <c r="E70">
        <v>3</v>
      </c>
      <c r="F70">
        <v>3</v>
      </c>
      <c r="G70">
        <v>3</v>
      </c>
      <c r="H70">
        <v>3</v>
      </c>
      <c r="I70">
        <v>2</v>
      </c>
      <c r="J70">
        <v>1</v>
      </c>
      <c r="K70">
        <v>1</v>
      </c>
      <c r="L70">
        <v>2</v>
      </c>
      <c r="M70">
        <v>2</v>
      </c>
      <c r="N70">
        <v>3</v>
      </c>
      <c r="O70">
        <v>2</v>
      </c>
      <c r="P70">
        <v>1</v>
      </c>
      <c r="Q70">
        <v>1</v>
      </c>
      <c r="R70">
        <v>43.442999999999998</v>
      </c>
      <c r="S70">
        <v>25886.612000000001</v>
      </c>
      <c r="T70" s="1">
        <f t="shared" si="29"/>
        <v>0.33564067789172258</v>
      </c>
      <c r="U70" s="1">
        <f t="shared" si="30"/>
        <v>0.50346101683758393</v>
      </c>
      <c r="V70" s="1">
        <f t="shared" si="31"/>
        <v>0.50346101683758393</v>
      </c>
      <c r="W70" s="1">
        <f t="shared" si="32"/>
        <v>0.50346101683758393</v>
      </c>
      <c r="X70" s="1">
        <f t="shared" si="33"/>
        <v>0.50346101683758393</v>
      </c>
      <c r="Y70" s="1">
        <f t="shared" si="42"/>
        <v>0.50346101683758393</v>
      </c>
      <c r="Z70" s="1">
        <f t="shared" si="43"/>
        <v>0.33564067789172258</v>
      </c>
      <c r="AA70" s="1">
        <f t="shared" si="34"/>
        <v>0.16782033894586129</v>
      </c>
      <c r="AB70" s="1">
        <f t="shared" si="35"/>
        <v>0.16782033894586129</v>
      </c>
      <c r="AC70" s="1">
        <f t="shared" si="36"/>
        <v>0.33564067789172258</v>
      </c>
      <c r="AD70" s="1">
        <f t="shared" si="37"/>
        <v>0.33564067789172258</v>
      </c>
      <c r="AE70" s="1">
        <f t="shared" si="38"/>
        <v>0.50346101683758393</v>
      </c>
      <c r="AF70" s="1">
        <f t="shared" si="39"/>
        <v>0.33564067789172258</v>
      </c>
      <c r="AG70" s="1">
        <f t="shared" si="40"/>
        <v>0.16782033894586129</v>
      </c>
      <c r="AH70" s="1">
        <f t="shared" si="41"/>
        <v>0.16782033894586129</v>
      </c>
      <c r="AI70" s="1">
        <f t="shared" si="22"/>
        <v>0.41955084736465326</v>
      </c>
      <c r="AJ70" s="1">
        <f t="shared" si="23"/>
        <v>0.50346101683758393</v>
      </c>
      <c r="AK70" s="1">
        <f t="shared" si="24"/>
        <v>0.44752090385563009</v>
      </c>
      <c r="AL70" s="1">
        <f t="shared" si="25"/>
        <v>0.16782033894586129</v>
      </c>
      <c r="AM70" s="1">
        <f t="shared" si="26"/>
        <v>0.33564067789172258</v>
      </c>
      <c r="AN70" s="1">
        <f t="shared" si="27"/>
        <v>0.41955084736465326</v>
      </c>
      <c r="AO70" s="1">
        <f t="shared" si="28"/>
        <v>0.22376045192781505</v>
      </c>
    </row>
    <row r="71" spans="1:41" x14ac:dyDescent="0.2">
      <c r="A71">
        <v>69</v>
      </c>
      <c r="B71" t="s">
        <v>39</v>
      </c>
      <c r="C71">
        <v>1</v>
      </c>
      <c r="D71">
        <v>1</v>
      </c>
      <c r="E71">
        <v>3</v>
      </c>
      <c r="F71">
        <v>3</v>
      </c>
      <c r="G71">
        <v>3</v>
      </c>
      <c r="H71">
        <v>2</v>
      </c>
      <c r="I71">
        <v>1</v>
      </c>
      <c r="J71">
        <v>2</v>
      </c>
      <c r="K71">
        <v>0</v>
      </c>
      <c r="L71">
        <v>2</v>
      </c>
      <c r="M71">
        <v>3</v>
      </c>
      <c r="N71">
        <v>2</v>
      </c>
      <c r="O71">
        <v>1</v>
      </c>
      <c r="P71">
        <v>1</v>
      </c>
      <c r="Q71">
        <v>0</v>
      </c>
      <c r="R71">
        <v>62.500999999999998</v>
      </c>
      <c r="S71">
        <v>25886.612000000001</v>
      </c>
      <c r="T71" s="1">
        <f t="shared" si="29"/>
        <v>0.24144140608280448</v>
      </c>
      <c r="U71" s="1">
        <f t="shared" si="30"/>
        <v>0.24144140608280448</v>
      </c>
      <c r="V71" s="1">
        <f t="shared" si="31"/>
        <v>0.72432421824841342</v>
      </c>
      <c r="W71" s="1">
        <f t="shared" si="32"/>
        <v>0.72432421824841342</v>
      </c>
      <c r="X71" s="1">
        <f t="shared" si="33"/>
        <v>0.72432421824841342</v>
      </c>
      <c r="Y71" s="1">
        <f t="shared" si="42"/>
        <v>0.48288281216560897</v>
      </c>
      <c r="Z71" s="1">
        <f t="shared" si="43"/>
        <v>0.24144140608280448</v>
      </c>
      <c r="AA71" s="1">
        <f t="shared" si="34"/>
        <v>0.48288281216560897</v>
      </c>
      <c r="AB71" s="1">
        <f t="shared" si="35"/>
        <v>0</v>
      </c>
      <c r="AC71" s="1">
        <f t="shared" si="36"/>
        <v>0.48288281216560897</v>
      </c>
      <c r="AD71" s="1">
        <f t="shared" si="37"/>
        <v>0.72432421824841342</v>
      </c>
      <c r="AE71" s="1">
        <f t="shared" si="38"/>
        <v>0.48288281216560897</v>
      </c>
      <c r="AF71" s="1">
        <f t="shared" si="39"/>
        <v>0.24144140608280448</v>
      </c>
      <c r="AG71" s="1">
        <f t="shared" si="40"/>
        <v>0.24144140608280448</v>
      </c>
      <c r="AH71" s="1">
        <f t="shared" si="41"/>
        <v>0</v>
      </c>
      <c r="AI71" s="1">
        <f t="shared" ref="AI71:AI134" si="44">SUM(T71:U71)/2</f>
        <v>0.24144140608280448</v>
      </c>
      <c r="AJ71" s="1">
        <f t="shared" ref="AJ71:AJ134" si="45">SUM(V71:W71)/2</f>
        <v>0.72432421824841342</v>
      </c>
      <c r="AK71" s="1">
        <f t="shared" ref="AK71:AK134" si="46">SUM(X71:Z71)/3</f>
        <v>0.48288281216560897</v>
      </c>
      <c r="AL71" s="1">
        <f t="shared" ref="AL71:AL134" si="47">SUM(AA71:AB71)/2</f>
        <v>0.24144140608280448</v>
      </c>
      <c r="AM71" s="1">
        <f t="shared" ref="AM71:AM134" si="48">(SUM(AC71)/1)</f>
        <v>0.48288281216560897</v>
      </c>
      <c r="AN71" s="1">
        <f t="shared" ref="AN71:AN134" si="49">SUM(AD71:AE71)/2</f>
        <v>0.60360351520701117</v>
      </c>
      <c r="AO71" s="1">
        <f t="shared" ref="AO71:AO134" si="50">SUM(AF71:AH71)/3</f>
        <v>0.16096093738853631</v>
      </c>
    </row>
    <row r="72" spans="1:41" x14ac:dyDescent="0.2">
      <c r="A72">
        <v>70</v>
      </c>
      <c r="B72" t="s">
        <v>40</v>
      </c>
      <c r="C72">
        <v>2</v>
      </c>
      <c r="D72">
        <v>3</v>
      </c>
      <c r="E72">
        <v>3</v>
      </c>
      <c r="F72">
        <v>2</v>
      </c>
      <c r="G72">
        <v>3</v>
      </c>
      <c r="H72">
        <v>3</v>
      </c>
      <c r="I72">
        <v>3</v>
      </c>
      <c r="J72">
        <v>2</v>
      </c>
      <c r="K72">
        <v>0</v>
      </c>
      <c r="L72">
        <v>2</v>
      </c>
      <c r="M72">
        <v>1</v>
      </c>
      <c r="N72">
        <v>2</v>
      </c>
      <c r="O72">
        <v>2</v>
      </c>
      <c r="P72">
        <v>2</v>
      </c>
      <c r="Q72">
        <v>0</v>
      </c>
      <c r="R72">
        <v>80.988</v>
      </c>
      <c r="S72">
        <v>25886.612000000001</v>
      </c>
      <c r="T72" s="1">
        <f t="shared" si="29"/>
        <v>0.625713399652299</v>
      </c>
      <c r="U72" s="1">
        <f t="shared" si="30"/>
        <v>0.93857009947844849</v>
      </c>
      <c r="V72" s="1">
        <f t="shared" si="31"/>
        <v>0.93857009947844849</v>
      </c>
      <c r="W72" s="1">
        <f t="shared" si="32"/>
        <v>0.625713399652299</v>
      </c>
      <c r="X72" s="1">
        <f t="shared" si="33"/>
        <v>0.93857009947844849</v>
      </c>
      <c r="Y72" s="1">
        <f t="shared" si="42"/>
        <v>0.93857009947844849</v>
      </c>
      <c r="Z72" s="1">
        <f t="shared" si="43"/>
        <v>0.93857009947844849</v>
      </c>
      <c r="AA72" s="1">
        <f t="shared" si="34"/>
        <v>0.625713399652299</v>
      </c>
      <c r="AB72" s="1">
        <f t="shared" si="35"/>
        <v>0</v>
      </c>
      <c r="AC72" s="1">
        <f t="shared" si="36"/>
        <v>0.625713399652299</v>
      </c>
      <c r="AD72" s="1">
        <f t="shared" si="37"/>
        <v>0.3128566998261495</v>
      </c>
      <c r="AE72" s="1">
        <f t="shared" si="38"/>
        <v>0.625713399652299</v>
      </c>
      <c r="AF72" s="1">
        <f t="shared" si="39"/>
        <v>0.625713399652299</v>
      </c>
      <c r="AG72" s="1">
        <f t="shared" si="40"/>
        <v>0.625713399652299</v>
      </c>
      <c r="AH72" s="1">
        <f t="shared" si="41"/>
        <v>0</v>
      </c>
      <c r="AI72" s="1">
        <f t="shared" si="44"/>
        <v>0.78214174956537375</v>
      </c>
      <c r="AJ72" s="1">
        <f t="shared" si="45"/>
        <v>0.78214174956537375</v>
      </c>
      <c r="AK72" s="1">
        <f t="shared" si="46"/>
        <v>0.93857009947844849</v>
      </c>
      <c r="AL72" s="1">
        <f t="shared" si="47"/>
        <v>0.3128566998261495</v>
      </c>
      <c r="AM72" s="1">
        <f t="shared" si="48"/>
        <v>0.625713399652299</v>
      </c>
      <c r="AN72" s="1">
        <f t="shared" si="49"/>
        <v>0.46928504973922425</v>
      </c>
      <c r="AO72" s="1">
        <f t="shared" si="50"/>
        <v>0.41714226643486602</v>
      </c>
    </row>
    <row r="73" spans="1:41" x14ac:dyDescent="0.2">
      <c r="A73">
        <v>71</v>
      </c>
      <c r="B73" t="s">
        <v>41</v>
      </c>
      <c r="C73">
        <v>1</v>
      </c>
      <c r="D73">
        <v>2</v>
      </c>
      <c r="E73">
        <v>3</v>
      </c>
      <c r="F73">
        <v>2</v>
      </c>
      <c r="G73">
        <v>3</v>
      </c>
      <c r="H73">
        <v>3</v>
      </c>
      <c r="I73">
        <v>1</v>
      </c>
      <c r="J73">
        <v>2</v>
      </c>
      <c r="K73">
        <v>2</v>
      </c>
      <c r="L73">
        <v>2</v>
      </c>
      <c r="M73">
        <v>1</v>
      </c>
      <c r="N73">
        <v>2</v>
      </c>
      <c r="O73">
        <v>2</v>
      </c>
      <c r="P73">
        <v>1</v>
      </c>
      <c r="Q73">
        <v>2</v>
      </c>
      <c r="R73">
        <v>123.235</v>
      </c>
      <c r="S73">
        <v>25886.612000000001</v>
      </c>
      <c r="T73" s="1">
        <f t="shared" si="29"/>
        <v>0.47605688994759143</v>
      </c>
      <c r="U73" s="1">
        <f t="shared" si="30"/>
        <v>0.95211377989518287</v>
      </c>
      <c r="V73" s="1">
        <f t="shared" si="31"/>
        <v>1.4281706698427743</v>
      </c>
      <c r="W73" s="1">
        <f t="shared" si="32"/>
        <v>0.95211377989518287</v>
      </c>
      <c r="X73" s="1">
        <f t="shared" si="33"/>
        <v>1.4281706698427743</v>
      </c>
      <c r="Y73" s="1">
        <f t="shared" si="42"/>
        <v>1.4281706698427743</v>
      </c>
      <c r="Z73" s="1">
        <f t="shared" si="43"/>
        <v>0.47605688994759143</v>
      </c>
      <c r="AA73" s="1">
        <f t="shared" si="34"/>
        <v>0.95211377989518287</v>
      </c>
      <c r="AB73" s="1">
        <f t="shared" si="35"/>
        <v>0.95211377989518287</v>
      </c>
      <c r="AC73" s="1">
        <f t="shared" si="36"/>
        <v>0.95211377989518287</v>
      </c>
      <c r="AD73" s="1">
        <f t="shared" si="37"/>
        <v>0.47605688994759143</v>
      </c>
      <c r="AE73" s="1">
        <f t="shared" si="38"/>
        <v>0.95211377989518287</v>
      </c>
      <c r="AF73" s="1">
        <f t="shared" si="39"/>
        <v>0.95211377989518287</v>
      </c>
      <c r="AG73" s="1">
        <f t="shared" si="40"/>
        <v>0.47605688994759143</v>
      </c>
      <c r="AH73" s="1">
        <f t="shared" si="41"/>
        <v>0.95211377989518287</v>
      </c>
      <c r="AI73" s="1">
        <f t="shared" si="44"/>
        <v>0.71408533492138715</v>
      </c>
      <c r="AJ73" s="1">
        <f t="shared" si="45"/>
        <v>1.1901422248689786</v>
      </c>
      <c r="AK73" s="1">
        <f t="shared" si="46"/>
        <v>1.1107994098777134</v>
      </c>
      <c r="AL73" s="1">
        <f t="shared" si="47"/>
        <v>0.95211377989518287</v>
      </c>
      <c r="AM73" s="1">
        <f t="shared" si="48"/>
        <v>0.95211377989518287</v>
      </c>
      <c r="AN73" s="1">
        <f t="shared" si="49"/>
        <v>0.71408533492138715</v>
      </c>
      <c r="AO73" s="1">
        <f t="shared" si="50"/>
        <v>0.79342814991265243</v>
      </c>
    </row>
    <row r="74" spans="1:41" x14ac:dyDescent="0.2">
      <c r="A74">
        <v>72</v>
      </c>
      <c r="B74" t="s">
        <v>44</v>
      </c>
      <c r="C74">
        <v>2</v>
      </c>
      <c r="D74">
        <v>2</v>
      </c>
      <c r="E74">
        <v>2</v>
      </c>
      <c r="F74">
        <v>3</v>
      </c>
      <c r="G74">
        <v>3</v>
      </c>
      <c r="H74">
        <v>3</v>
      </c>
      <c r="I74">
        <v>2</v>
      </c>
      <c r="J74">
        <v>1</v>
      </c>
      <c r="K74">
        <v>0</v>
      </c>
      <c r="L74">
        <v>2</v>
      </c>
      <c r="M74">
        <v>3</v>
      </c>
      <c r="N74">
        <v>3</v>
      </c>
      <c r="O74">
        <v>3</v>
      </c>
      <c r="P74">
        <v>1</v>
      </c>
      <c r="Q74">
        <v>1</v>
      </c>
      <c r="R74">
        <v>122.691</v>
      </c>
      <c r="S74">
        <v>25886.612000000001</v>
      </c>
      <c r="T74" s="1">
        <f t="shared" si="29"/>
        <v>0.94791083514520946</v>
      </c>
      <c r="U74" s="1">
        <f t="shared" si="30"/>
        <v>0.94791083514520946</v>
      </c>
      <c r="V74" s="1">
        <f t="shared" si="31"/>
        <v>0.94791083514520946</v>
      </c>
      <c r="W74" s="1">
        <f t="shared" si="32"/>
        <v>1.4218662527178143</v>
      </c>
      <c r="X74" s="1">
        <f t="shared" si="33"/>
        <v>1.4218662527178143</v>
      </c>
      <c r="Y74" s="1">
        <f t="shared" si="42"/>
        <v>1.4218662527178143</v>
      </c>
      <c r="Z74" s="1">
        <f t="shared" si="43"/>
        <v>0.94791083514520946</v>
      </c>
      <c r="AA74" s="1">
        <f t="shared" si="34"/>
        <v>0.47395541757260473</v>
      </c>
      <c r="AB74" s="1">
        <f t="shared" si="35"/>
        <v>0</v>
      </c>
      <c r="AC74" s="1">
        <f t="shared" si="36"/>
        <v>0.94791083514520946</v>
      </c>
      <c r="AD74" s="1">
        <f t="shared" si="37"/>
        <v>1.4218662527178143</v>
      </c>
      <c r="AE74" s="1">
        <f t="shared" si="38"/>
        <v>1.4218662527178143</v>
      </c>
      <c r="AF74" s="1">
        <f t="shared" si="39"/>
        <v>1.4218662527178143</v>
      </c>
      <c r="AG74" s="1">
        <f t="shared" si="40"/>
        <v>0.47395541757260473</v>
      </c>
      <c r="AH74" s="1">
        <f t="shared" si="41"/>
        <v>0.47395541757260473</v>
      </c>
      <c r="AI74" s="1">
        <f t="shared" si="44"/>
        <v>0.94791083514520946</v>
      </c>
      <c r="AJ74" s="1">
        <f t="shared" si="45"/>
        <v>1.1848885439315118</v>
      </c>
      <c r="AK74" s="1">
        <f t="shared" si="46"/>
        <v>1.2638811135269459</v>
      </c>
      <c r="AL74" s="1">
        <f t="shared" si="47"/>
        <v>0.23697770878630237</v>
      </c>
      <c r="AM74" s="1">
        <f t="shared" si="48"/>
        <v>0.94791083514520946</v>
      </c>
      <c r="AN74" s="1">
        <f t="shared" si="49"/>
        <v>1.4218662527178143</v>
      </c>
      <c r="AO74" s="1">
        <f t="shared" si="50"/>
        <v>0.78992569595434114</v>
      </c>
    </row>
    <row r="75" spans="1:41" x14ac:dyDescent="0.2">
      <c r="A75">
        <v>73</v>
      </c>
      <c r="B75" t="s">
        <v>41</v>
      </c>
      <c r="C75">
        <v>2</v>
      </c>
      <c r="D75">
        <v>2</v>
      </c>
      <c r="E75">
        <v>0</v>
      </c>
      <c r="F75">
        <v>3</v>
      </c>
      <c r="G75">
        <v>3</v>
      </c>
      <c r="H75">
        <v>3</v>
      </c>
      <c r="I75">
        <v>2</v>
      </c>
      <c r="J75">
        <v>2</v>
      </c>
      <c r="K75">
        <v>2</v>
      </c>
      <c r="L75">
        <v>2</v>
      </c>
      <c r="M75">
        <v>1</v>
      </c>
      <c r="N75">
        <v>2</v>
      </c>
      <c r="O75">
        <v>2</v>
      </c>
      <c r="P75">
        <v>1</v>
      </c>
      <c r="Q75">
        <v>2</v>
      </c>
      <c r="R75">
        <v>642.70000000000005</v>
      </c>
      <c r="S75">
        <v>25886.612000000001</v>
      </c>
      <c r="T75" s="1">
        <f t="shared" si="29"/>
        <v>4.9655010860440143</v>
      </c>
      <c r="U75" s="1">
        <f t="shared" si="30"/>
        <v>4.9655010860440143</v>
      </c>
      <c r="V75" s="1">
        <f t="shared" si="31"/>
        <v>0</v>
      </c>
      <c r="W75" s="1">
        <f t="shared" si="32"/>
        <v>7.4482516290660215</v>
      </c>
      <c r="X75" s="1">
        <f t="shared" si="33"/>
        <v>7.4482516290660215</v>
      </c>
      <c r="Y75" s="1">
        <f t="shared" si="42"/>
        <v>7.4482516290660215</v>
      </c>
      <c r="Z75" s="1">
        <f t="shared" si="43"/>
        <v>4.9655010860440143</v>
      </c>
      <c r="AA75" s="1">
        <f t="shared" si="34"/>
        <v>4.9655010860440143</v>
      </c>
      <c r="AB75" s="1">
        <f t="shared" si="35"/>
        <v>4.9655010860440143</v>
      </c>
      <c r="AC75" s="1">
        <f t="shared" si="36"/>
        <v>4.9655010860440143</v>
      </c>
      <c r="AD75" s="1">
        <f t="shared" si="37"/>
        <v>2.4827505430220072</v>
      </c>
      <c r="AE75" s="1">
        <f t="shared" si="38"/>
        <v>4.9655010860440143</v>
      </c>
      <c r="AF75" s="1">
        <f t="shared" si="39"/>
        <v>4.9655010860440143</v>
      </c>
      <c r="AG75" s="1">
        <f t="shared" si="40"/>
        <v>2.4827505430220072</v>
      </c>
      <c r="AH75" s="1">
        <f t="shared" si="41"/>
        <v>4.9655010860440143</v>
      </c>
      <c r="AI75" s="1">
        <f t="shared" si="44"/>
        <v>4.9655010860440143</v>
      </c>
      <c r="AJ75" s="1">
        <f t="shared" si="45"/>
        <v>3.7241258145330107</v>
      </c>
      <c r="AK75" s="1">
        <f t="shared" si="46"/>
        <v>6.6206681147253521</v>
      </c>
      <c r="AL75" s="1">
        <f t="shared" si="47"/>
        <v>4.9655010860440143</v>
      </c>
      <c r="AM75" s="1">
        <f t="shared" si="48"/>
        <v>4.9655010860440143</v>
      </c>
      <c r="AN75" s="1">
        <f t="shared" si="49"/>
        <v>3.7241258145330107</v>
      </c>
      <c r="AO75" s="1">
        <f t="shared" si="50"/>
        <v>4.137917571703345</v>
      </c>
    </row>
    <row r="76" spans="1:41" x14ac:dyDescent="0.2">
      <c r="A76">
        <v>74</v>
      </c>
      <c r="B76" t="s">
        <v>42</v>
      </c>
      <c r="C76">
        <v>2</v>
      </c>
      <c r="D76">
        <v>2</v>
      </c>
      <c r="E76">
        <v>1</v>
      </c>
      <c r="F76">
        <v>3</v>
      </c>
      <c r="G76">
        <v>3</v>
      </c>
      <c r="H76">
        <v>3</v>
      </c>
      <c r="I76">
        <v>2</v>
      </c>
      <c r="J76">
        <v>1</v>
      </c>
      <c r="K76">
        <v>1</v>
      </c>
      <c r="L76">
        <v>2</v>
      </c>
      <c r="M76">
        <v>1</v>
      </c>
      <c r="N76">
        <v>2</v>
      </c>
      <c r="O76">
        <v>1</v>
      </c>
      <c r="P76">
        <v>1</v>
      </c>
      <c r="Q76">
        <v>0</v>
      </c>
      <c r="R76">
        <v>250.273</v>
      </c>
      <c r="S76">
        <v>25886.612000000001</v>
      </c>
      <c r="T76" s="1">
        <f t="shared" si="29"/>
        <v>1.9336095430332867</v>
      </c>
      <c r="U76" s="1">
        <f t="shared" si="30"/>
        <v>1.9336095430332867</v>
      </c>
      <c r="V76" s="1">
        <f t="shared" si="31"/>
        <v>0.96680477151664335</v>
      </c>
      <c r="W76" s="1">
        <f t="shared" si="32"/>
        <v>2.9004143145499302</v>
      </c>
      <c r="X76" s="1">
        <f t="shared" si="33"/>
        <v>2.9004143145499302</v>
      </c>
      <c r="Y76" s="1">
        <f t="shared" si="42"/>
        <v>2.9004143145499302</v>
      </c>
      <c r="Z76" s="1">
        <f t="shared" si="43"/>
        <v>1.9336095430332867</v>
      </c>
      <c r="AA76" s="1">
        <f t="shared" si="34"/>
        <v>0.96680477151664335</v>
      </c>
      <c r="AB76" s="1">
        <f t="shared" si="35"/>
        <v>0.96680477151664335</v>
      </c>
      <c r="AC76" s="1">
        <f t="shared" si="36"/>
        <v>1.9336095430332867</v>
      </c>
      <c r="AD76" s="1">
        <f t="shared" si="37"/>
        <v>0.96680477151664335</v>
      </c>
      <c r="AE76" s="1">
        <f t="shared" si="38"/>
        <v>1.9336095430332867</v>
      </c>
      <c r="AF76" s="1">
        <f t="shared" si="39"/>
        <v>0.96680477151664335</v>
      </c>
      <c r="AG76" s="1">
        <f t="shared" si="40"/>
        <v>0.96680477151664335</v>
      </c>
      <c r="AH76" s="1">
        <f t="shared" si="41"/>
        <v>0</v>
      </c>
      <c r="AI76" s="1">
        <f t="shared" si="44"/>
        <v>1.9336095430332867</v>
      </c>
      <c r="AJ76" s="1">
        <f t="shared" si="45"/>
        <v>1.9336095430332867</v>
      </c>
      <c r="AK76" s="1">
        <f t="shared" si="46"/>
        <v>2.5781460573777157</v>
      </c>
      <c r="AL76" s="1">
        <f t="shared" si="47"/>
        <v>0.96680477151664335</v>
      </c>
      <c r="AM76" s="1">
        <f t="shared" si="48"/>
        <v>1.9336095430332867</v>
      </c>
      <c r="AN76" s="1">
        <f t="shared" si="49"/>
        <v>1.4502071572749651</v>
      </c>
      <c r="AO76" s="1">
        <f t="shared" si="50"/>
        <v>0.64453651434442893</v>
      </c>
    </row>
    <row r="77" spans="1:41" x14ac:dyDescent="0.2">
      <c r="A77">
        <v>75</v>
      </c>
      <c r="B77" t="s">
        <v>38</v>
      </c>
      <c r="C77">
        <v>1</v>
      </c>
      <c r="D77">
        <v>2</v>
      </c>
      <c r="E77">
        <v>0</v>
      </c>
      <c r="F77">
        <v>3</v>
      </c>
      <c r="G77">
        <v>3</v>
      </c>
      <c r="H77">
        <v>3</v>
      </c>
      <c r="I77">
        <v>3</v>
      </c>
      <c r="J77">
        <v>1</v>
      </c>
      <c r="K77">
        <v>2</v>
      </c>
      <c r="L77">
        <v>2</v>
      </c>
      <c r="M77">
        <v>1</v>
      </c>
      <c r="N77">
        <v>3</v>
      </c>
      <c r="O77">
        <v>2</v>
      </c>
      <c r="P77">
        <v>1</v>
      </c>
      <c r="Q77">
        <v>1</v>
      </c>
      <c r="R77">
        <v>355.56799999999998</v>
      </c>
      <c r="S77">
        <v>25886.612000000001</v>
      </c>
      <c r="T77" s="1">
        <f t="shared" si="29"/>
        <v>1.3735594290979443</v>
      </c>
      <c r="U77" s="1">
        <f t="shared" si="30"/>
        <v>2.7471188581958885</v>
      </c>
      <c r="V77" s="1">
        <f t="shared" si="31"/>
        <v>0</v>
      </c>
      <c r="W77" s="1">
        <f t="shared" si="32"/>
        <v>4.120678287293833</v>
      </c>
      <c r="X77" s="1">
        <f t="shared" si="33"/>
        <v>4.120678287293833</v>
      </c>
      <c r="Y77" s="1">
        <f t="shared" si="42"/>
        <v>4.120678287293833</v>
      </c>
      <c r="Z77" s="1">
        <f t="shared" si="43"/>
        <v>4.120678287293833</v>
      </c>
      <c r="AA77" s="1">
        <f t="shared" si="34"/>
        <v>1.3735594290979443</v>
      </c>
      <c r="AB77" s="1">
        <f t="shared" si="35"/>
        <v>2.7471188581958885</v>
      </c>
      <c r="AC77" s="1">
        <f t="shared" si="36"/>
        <v>2.7471188581958885</v>
      </c>
      <c r="AD77" s="1">
        <f t="shared" si="37"/>
        <v>1.3735594290979443</v>
      </c>
      <c r="AE77" s="1">
        <f t="shared" si="38"/>
        <v>4.120678287293833</v>
      </c>
      <c r="AF77" s="1">
        <f t="shared" si="39"/>
        <v>2.7471188581958885</v>
      </c>
      <c r="AG77" s="1">
        <f t="shared" si="40"/>
        <v>1.3735594290979443</v>
      </c>
      <c r="AH77" s="1">
        <f t="shared" si="41"/>
        <v>1.3735594290979443</v>
      </c>
      <c r="AI77" s="1">
        <f t="shared" si="44"/>
        <v>2.0603391436469165</v>
      </c>
      <c r="AJ77" s="1">
        <f t="shared" si="45"/>
        <v>2.0603391436469165</v>
      </c>
      <c r="AK77" s="1">
        <f t="shared" si="46"/>
        <v>4.120678287293833</v>
      </c>
      <c r="AL77" s="1">
        <f t="shared" si="47"/>
        <v>2.0603391436469165</v>
      </c>
      <c r="AM77" s="1">
        <f t="shared" si="48"/>
        <v>2.7471188581958885</v>
      </c>
      <c r="AN77" s="1">
        <f t="shared" si="49"/>
        <v>2.7471188581958885</v>
      </c>
      <c r="AO77" s="1">
        <f t="shared" si="50"/>
        <v>1.8314125721305923</v>
      </c>
    </row>
    <row r="78" spans="1:41" x14ac:dyDescent="0.2">
      <c r="A78">
        <v>76</v>
      </c>
      <c r="B78" t="s">
        <v>45</v>
      </c>
      <c r="C78">
        <v>3</v>
      </c>
      <c r="D78">
        <v>3</v>
      </c>
      <c r="E78">
        <v>3</v>
      </c>
      <c r="F78">
        <v>3</v>
      </c>
      <c r="G78">
        <v>3</v>
      </c>
      <c r="H78">
        <v>3</v>
      </c>
      <c r="I78">
        <v>3</v>
      </c>
      <c r="J78">
        <v>2</v>
      </c>
      <c r="K78">
        <v>3</v>
      </c>
      <c r="L78">
        <v>3</v>
      </c>
      <c r="M78">
        <v>3</v>
      </c>
      <c r="N78">
        <v>3</v>
      </c>
      <c r="O78">
        <v>2</v>
      </c>
      <c r="P78">
        <v>3</v>
      </c>
      <c r="Q78">
        <v>2</v>
      </c>
      <c r="R78">
        <v>95.212999999999994</v>
      </c>
      <c r="S78">
        <v>25886.612000000001</v>
      </c>
      <c r="T78" s="1">
        <f t="shared" si="29"/>
        <v>1.1034236538949167</v>
      </c>
      <c r="U78" s="1">
        <f t="shared" si="30"/>
        <v>1.1034236538949167</v>
      </c>
      <c r="V78" s="1">
        <f t="shared" si="31"/>
        <v>1.1034236538949167</v>
      </c>
      <c r="W78" s="1">
        <f t="shared" si="32"/>
        <v>1.1034236538949167</v>
      </c>
      <c r="X78" s="1">
        <f t="shared" si="33"/>
        <v>1.1034236538949167</v>
      </c>
      <c r="Y78" s="1">
        <f t="shared" si="42"/>
        <v>1.1034236538949167</v>
      </c>
      <c r="Z78" s="1">
        <f t="shared" si="43"/>
        <v>1.1034236538949167</v>
      </c>
      <c r="AA78" s="1">
        <f t="shared" si="34"/>
        <v>0.73561576926327776</v>
      </c>
      <c r="AB78" s="1">
        <f t="shared" si="35"/>
        <v>1.1034236538949167</v>
      </c>
      <c r="AC78" s="1">
        <f t="shared" si="36"/>
        <v>1.1034236538949167</v>
      </c>
      <c r="AD78" s="1">
        <f t="shared" si="37"/>
        <v>1.1034236538949167</v>
      </c>
      <c r="AE78" s="1">
        <f t="shared" si="38"/>
        <v>1.1034236538949167</v>
      </c>
      <c r="AF78" s="1">
        <f t="shared" si="39"/>
        <v>0.73561576926327776</v>
      </c>
      <c r="AG78" s="1">
        <f t="shared" si="40"/>
        <v>1.1034236538949167</v>
      </c>
      <c r="AH78" s="1">
        <f t="shared" si="41"/>
        <v>0.73561576926327776</v>
      </c>
      <c r="AI78" s="1">
        <f t="shared" si="44"/>
        <v>1.1034236538949167</v>
      </c>
      <c r="AJ78" s="1">
        <f t="shared" si="45"/>
        <v>1.1034236538949167</v>
      </c>
      <c r="AK78" s="1">
        <f t="shared" si="46"/>
        <v>1.1034236538949167</v>
      </c>
      <c r="AL78" s="1">
        <f t="shared" si="47"/>
        <v>0.91951971157909718</v>
      </c>
      <c r="AM78" s="1">
        <f t="shared" si="48"/>
        <v>1.1034236538949167</v>
      </c>
      <c r="AN78" s="1">
        <f t="shared" si="49"/>
        <v>1.1034236538949167</v>
      </c>
      <c r="AO78" s="1">
        <f t="shared" si="50"/>
        <v>0.858218397473824</v>
      </c>
    </row>
    <row r="79" spans="1:41" x14ac:dyDescent="0.2">
      <c r="A79">
        <v>77</v>
      </c>
      <c r="B79" t="s">
        <v>38</v>
      </c>
      <c r="C79">
        <v>3</v>
      </c>
      <c r="D79">
        <v>3</v>
      </c>
      <c r="E79">
        <v>3</v>
      </c>
      <c r="F79">
        <v>3</v>
      </c>
      <c r="G79">
        <v>3</v>
      </c>
      <c r="H79">
        <v>3</v>
      </c>
      <c r="I79">
        <v>3</v>
      </c>
      <c r="J79">
        <v>2</v>
      </c>
      <c r="K79">
        <v>3</v>
      </c>
      <c r="L79">
        <v>3</v>
      </c>
      <c r="M79">
        <v>2</v>
      </c>
      <c r="N79">
        <v>2</v>
      </c>
      <c r="O79">
        <v>2</v>
      </c>
      <c r="P79">
        <v>3</v>
      </c>
      <c r="Q79">
        <v>3</v>
      </c>
      <c r="R79">
        <v>267.01799999999997</v>
      </c>
      <c r="S79">
        <v>25886.612000000001</v>
      </c>
      <c r="T79" s="1">
        <f t="shared" si="29"/>
        <v>3.0944721541776103</v>
      </c>
      <c r="U79" s="1">
        <f t="shared" si="30"/>
        <v>3.0944721541776103</v>
      </c>
      <c r="V79" s="1">
        <f t="shared" si="31"/>
        <v>3.0944721541776103</v>
      </c>
      <c r="W79" s="1">
        <f t="shared" si="32"/>
        <v>3.0944721541776103</v>
      </c>
      <c r="X79" s="1">
        <f t="shared" si="33"/>
        <v>3.0944721541776103</v>
      </c>
      <c r="Y79" s="1">
        <f t="shared" si="42"/>
        <v>3.0944721541776103</v>
      </c>
      <c r="Z79" s="1">
        <f t="shared" si="43"/>
        <v>3.0944721541776103</v>
      </c>
      <c r="AA79" s="1">
        <f t="shared" si="34"/>
        <v>2.0629814361184069</v>
      </c>
      <c r="AB79" s="1">
        <f t="shared" si="35"/>
        <v>3.0944721541776103</v>
      </c>
      <c r="AC79" s="1">
        <f t="shared" si="36"/>
        <v>3.0944721541776103</v>
      </c>
      <c r="AD79" s="1">
        <f t="shared" si="37"/>
        <v>2.0629814361184069</v>
      </c>
      <c r="AE79" s="1">
        <f t="shared" si="38"/>
        <v>2.0629814361184069</v>
      </c>
      <c r="AF79" s="1">
        <f t="shared" si="39"/>
        <v>2.0629814361184069</v>
      </c>
      <c r="AG79" s="1">
        <f t="shared" si="40"/>
        <v>3.0944721541776103</v>
      </c>
      <c r="AH79" s="1">
        <f t="shared" si="41"/>
        <v>3.0944721541776103</v>
      </c>
      <c r="AI79" s="1">
        <f t="shared" si="44"/>
        <v>3.0944721541776103</v>
      </c>
      <c r="AJ79" s="1">
        <f t="shared" si="45"/>
        <v>3.0944721541776103</v>
      </c>
      <c r="AK79" s="1">
        <f t="shared" si="46"/>
        <v>3.0944721541776103</v>
      </c>
      <c r="AL79" s="1">
        <f t="shared" si="47"/>
        <v>2.5787267951480084</v>
      </c>
      <c r="AM79" s="1">
        <f t="shared" si="48"/>
        <v>3.0944721541776103</v>
      </c>
      <c r="AN79" s="1">
        <f t="shared" si="49"/>
        <v>2.0629814361184069</v>
      </c>
      <c r="AO79" s="1">
        <f t="shared" si="50"/>
        <v>2.7506419148245427</v>
      </c>
    </row>
    <row r="80" spans="1:41" x14ac:dyDescent="0.2">
      <c r="A80">
        <v>78</v>
      </c>
      <c r="B80" t="s">
        <v>46</v>
      </c>
      <c r="C80">
        <v>2</v>
      </c>
      <c r="D80">
        <v>2</v>
      </c>
      <c r="E80">
        <v>3</v>
      </c>
      <c r="F80">
        <v>3</v>
      </c>
      <c r="G80">
        <v>3</v>
      </c>
      <c r="H80">
        <v>3</v>
      </c>
      <c r="I80">
        <v>2</v>
      </c>
      <c r="J80">
        <v>2</v>
      </c>
      <c r="K80">
        <v>3</v>
      </c>
      <c r="L80">
        <v>3</v>
      </c>
      <c r="M80">
        <v>2</v>
      </c>
      <c r="N80">
        <v>3</v>
      </c>
      <c r="O80">
        <v>0</v>
      </c>
      <c r="P80">
        <v>1</v>
      </c>
      <c r="Q80">
        <v>3</v>
      </c>
      <c r="R80">
        <v>83.566000000000003</v>
      </c>
      <c r="S80">
        <v>25886.612000000001</v>
      </c>
      <c r="T80" s="1">
        <f t="shared" si="29"/>
        <v>0.6456310312064012</v>
      </c>
      <c r="U80" s="1">
        <f t="shared" si="30"/>
        <v>0.6456310312064012</v>
      </c>
      <c r="V80" s="1">
        <f t="shared" si="31"/>
        <v>0.96844654680960174</v>
      </c>
      <c r="W80" s="1">
        <f t="shared" si="32"/>
        <v>0.96844654680960174</v>
      </c>
      <c r="X80" s="1">
        <f t="shared" si="33"/>
        <v>0.96844654680960174</v>
      </c>
      <c r="Y80" s="1">
        <f t="shared" si="42"/>
        <v>0.96844654680960174</v>
      </c>
      <c r="Z80" s="1">
        <f t="shared" si="43"/>
        <v>0.6456310312064012</v>
      </c>
      <c r="AA80" s="1">
        <f t="shared" si="34"/>
        <v>0.6456310312064012</v>
      </c>
      <c r="AB80" s="1">
        <f t="shared" si="35"/>
        <v>0.96844654680960174</v>
      </c>
      <c r="AC80" s="1">
        <f t="shared" si="36"/>
        <v>0.96844654680960174</v>
      </c>
      <c r="AD80" s="1">
        <f t="shared" si="37"/>
        <v>0.6456310312064012</v>
      </c>
      <c r="AE80" s="1">
        <f t="shared" si="38"/>
        <v>0.96844654680960174</v>
      </c>
      <c r="AF80" s="1">
        <f t="shared" si="39"/>
        <v>0</v>
      </c>
      <c r="AG80" s="1">
        <f t="shared" si="40"/>
        <v>0.3228155156032006</v>
      </c>
      <c r="AH80" s="1">
        <f t="shared" si="41"/>
        <v>0.96844654680960174</v>
      </c>
      <c r="AI80" s="1">
        <f t="shared" si="44"/>
        <v>0.6456310312064012</v>
      </c>
      <c r="AJ80" s="1">
        <f t="shared" si="45"/>
        <v>0.96844654680960174</v>
      </c>
      <c r="AK80" s="1">
        <f t="shared" si="46"/>
        <v>0.8608413749418683</v>
      </c>
      <c r="AL80" s="1">
        <f t="shared" si="47"/>
        <v>0.80703878900800152</v>
      </c>
      <c r="AM80" s="1">
        <f t="shared" si="48"/>
        <v>0.96844654680960174</v>
      </c>
      <c r="AN80" s="1">
        <f t="shared" si="49"/>
        <v>0.80703878900800152</v>
      </c>
      <c r="AO80" s="1">
        <f t="shared" si="50"/>
        <v>0.43042068747093415</v>
      </c>
    </row>
    <row r="81" spans="1:41" x14ac:dyDescent="0.2">
      <c r="A81">
        <v>79</v>
      </c>
      <c r="B81" t="s">
        <v>47</v>
      </c>
      <c r="C81">
        <v>2</v>
      </c>
      <c r="D81">
        <v>3</v>
      </c>
      <c r="E81">
        <v>1</v>
      </c>
      <c r="F81">
        <v>2</v>
      </c>
      <c r="G81">
        <v>3</v>
      </c>
      <c r="H81">
        <v>3</v>
      </c>
      <c r="I81">
        <v>3</v>
      </c>
      <c r="J81">
        <v>2</v>
      </c>
      <c r="K81">
        <v>2</v>
      </c>
      <c r="L81">
        <v>2</v>
      </c>
      <c r="M81">
        <v>1</v>
      </c>
      <c r="N81">
        <v>2</v>
      </c>
      <c r="O81">
        <v>0</v>
      </c>
      <c r="P81">
        <v>2</v>
      </c>
      <c r="Q81">
        <v>2</v>
      </c>
      <c r="R81">
        <v>202.60900000000001</v>
      </c>
      <c r="S81">
        <v>25886.612000000001</v>
      </c>
      <c r="T81" s="1">
        <f t="shared" si="29"/>
        <v>1.5653574133223769</v>
      </c>
      <c r="U81" s="1">
        <f t="shared" si="30"/>
        <v>2.3480361199835653</v>
      </c>
      <c r="V81" s="1">
        <f t="shared" si="31"/>
        <v>0.78267870666118844</v>
      </c>
      <c r="W81" s="1">
        <f t="shared" si="32"/>
        <v>1.5653574133223769</v>
      </c>
      <c r="X81" s="1">
        <f t="shared" si="33"/>
        <v>2.3480361199835653</v>
      </c>
      <c r="Y81" s="1">
        <f t="shared" si="42"/>
        <v>2.3480361199835653</v>
      </c>
      <c r="Z81" s="1">
        <f t="shared" si="43"/>
        <v>2.3480361199835653</v>
      </c>
      <c r="AA81" s="1">
        <f t="shared" si="34"/>
        <v>1.5653574133223769</v>
      </c>
      <c r="AB81" s="1">
        <f t="shared" si="35"/>
        <v>1.5653574133223769</v>
      </c>
      <c r="AC81" s="1">
        <f t="shared" si="36"/>
        <v>1.5653574133223769</v>
      </c>
      <c r="AD81" s="1">
        <f t="shared" si="37"/>
        <v>0.78267870666118844</v>
      </c>
      <c r="AE81" s="1">
        <f t="shared" si="38"/>
        <v>1.5653574133223769</v>
      </c>
      <c r="AF81" s="1">
        <f t="shared" si="39"/>
        <v>0</v>
      </c>
      <c r="AG81" s="1">
        <f t="shared" si="40"/>
        <v>1.5653574133223769</v>
      </c>
      <c r="AH81" s="1">
        <f t="shared" si="41"/>
        <v>1.5653574133223769</v>
      </c>
      <c r="AI81" s="1">
        <f t="shared" si="44"/>
        <v>1.9566967666529711</v>
      </c>
      <c r="AJ81" s="1">
        <f t="shared" si="45"/>
        <v>1.1740180599917827</v>
      </c>
      <c r="AK81" s="1">
        <f t="shared" si="46"/>
        <v>2.3480361199835653</v>
      </c>
      <c r="AL81" s="1">
        <f t="shared" si="47"/>
        <v>1.5653574133223769</v>
      </c>
      <c r="AM81" s="1">
        <f t="shared" si="48"/>
        <v>1.5653574133223769</v>
      </c>
      <c r="AN81" s="1">
        <f t="shared" si="49"/>
        <v>1.1740180599917827</v>
      </c>
      <c r="AO81" s="1">
        <f t="shared" si="50"/>
        <v>1.0435716088815845</v>
      </c>
    </row>
    <row r="82" spans="1:41" x14ac:dyDescent="0.2">
      <c r="A82">
        <v>80</v>
      </c>
      <c r="B82" t="s">
        <v>24</v>
      </c>
      <c r="C82">
        <v>3</v>
      </c>
      <c r="D82">
        <v>2</v>
      </c>
      <c r="E82">
        <v>3</v>
      </c>
      <c r="F82">
        <v>3</v>
      </c>
      <c r="G82">
        <v>1</v>
      </c>
      <c r="H82">
        <v>0</v>
      </c>
      <c r="I82">
        <v>1</v>
      </c>
      <c r="J82">
        <v>3</v>
      </c>
      <c r="K82">
        <v>2</v>
      </c>
      <c r="L82">
        <v>2</v>
      </c>
      <c r="M82">
        <v>2</v>
      </c>
      <c r="N82">
        <v>3</v>
      </c>
      <c r="O82">
        <v>3</v>
      </c>
      <c r="P82">
        <v>1</v>
      </c>
      <c r="Q82">
        <v>1</v>
      </c>
      <c r="R82">
        <v>48.679000000000002</v>
      </c>
      <c r="S82">
        <v>25886.612000000001</v>
      </c>
      <c r="T82" s="1">
        <f t="shared" si="29"/>
        <v>0.5641410316653257</v>
      </c>
      <c r="U82" s="1">
        <f t="shared" si="30"/>
        <v>0.37609402111021717</v>
      </c>
      <c r="V82" s="1">
        <f t="shared" si="31"/>
        <v>0.5641410316653257</v>
      </c>
      <c r="W82" s="1">
        <f t="shared" si="32"/>
        <v>0.5641410316653257</v>
      </c>
      <c r="X82" s="1">
        <f t="shared" si="33"/>
        <v>0.18804701055510858</v>
      </c>
      <c r="Y82" s="1">
        <f t="shared" si="42"/>
        <v>0</v>
      </c>
      <c r="Z82" s="1">
        <f t="shared" si="43"/>
        <v>0.18804701055510858</v>
      </c>
      <c r="AA82" s="1">
        <f t="shared" si="34"/>
        <v>0.5641410316653257</v>
      </c>
      <c r="AB82" s="1">
        <f t="shared" si="35"/>
        <v>0.37609402111021717</v>
      </c>
      <c r="AC82" s="1">
        <f t="shared" si="36"/>
        <v>0.37609402111021717</v>
      </c>
      <c r="AD82" s="1">
        <f t="shared" si="37"/>
        <v>0.37609402111021717</v>
      </c>
      <c r="AE82" s="1">
        <f t="shared" si="38"/>
        <v>0.5641410316653257</v>
      </c>
      <c r="AF82" s="1">
        <f t="shared" si="39"/>
        <v>0.5641410316653257</v>
      </c>
      <c r="AG82" s="1">
        <f t="shared" si="40"/>
        <v>0.18804701055510858</v>
      </c>
      <c r="AH82" s="1">
        <f t="shared" si="41"/>
        <v>0.18804701055510858</v>
      </c>
      <c r="AI82" s="1">
        <f t="shared" si="44"/>
        <v>0.47011752638777143</v>
      </c>
      <c r="AJ82" s="1">
        <f t="shared" si="45"/>
        <v>0.5641410316653257</v>
      </c>
      <c r="AK82" s="1">
        <f t="shared" si="46"/>
        <v>0.12536467370340573</v>
      </c>
      <c r="AL82" s="1">
        <f t="shared" si="47"/>
        <v>0.47011752638777143</v>
      </c>
      <c r="AM82" s="1">
        <f t="shared" si="48"/>
        <v>0.37609402111021717</v>
      </c>
      <c r="AN82" s="1">
        <f t="shared" si="49"/>
        <v>0.47011752638777143</v>
      </c>
      <c r="AO82" s="1">
        <f t="shared" si="50"/>
        <v>0.31341168425851434</v>
      </c>
    </row>
    <row r="83" spans="1:41" x14ac:dyDescent="0.2">
      <c r="A83">
        <v>81</v>
      </c>
      <c r="B83" t="s">
        <v>29</v>
      </c>
      <c r="C83">
        <v>1</v>
      </c>
      <c r="D83">
        <v>1</v>
      </c>
      <c r="E83">
        <v>3</v>
      </c>
      <c r="F83">
        <v>3</v>
      </c>
      <c r="G83">
        <v>1</v>
      </c>
      <c r="H83">
        <v>1</v>
      </c>
      <c r="I83">
        <v>0</v>
      </c>
      <c r="J83">
        <v>1</v>
      </c>
      <c r="K83">
        <v>0</v>
      </c>
      <c r="L83">
        <v>1</v>
      </c>
      <c r="M83">
        <v>2</v>
      </c>
      <c r="N83">
        <v>0</v>
      </c>
      <c r="O83">
        <v>1</v>
      </c>
      <c r="P83">
        <v>0</v>
      </c>
      <c r="Q83">
        <v>0</v>
      </c>
      <c r="R83">
        <v>68.298000000000002</v>
      </c>
      <c r="S83">
        <v>25886.612000000001</v>
      </c>
      <c r="T83" s="1">
        <f t="shared" si="29"/>
        <v>0.26383522107875684</v>
      </c>
      <c r="U83" s="1">
        <f t="shared" si="30"/>
        <v>0.26383522107875684</v>
      </c>
      <c r="V83" s="1">
        <f t="shared" si="31"/>
        <v>0.79150566323627047</v>
      </c>
      <c r="W83" s="1">
        <f t="shared" si="32"/>
        <v>0.79150566323627047</v>
      </c>
      <c r="X83" s="1">
        <f t="shared" si="33"/>
        <v>0.26383522107875684</v>
      </c>
      <c r="Y83" s="1">
        <f t="shared" si="42"/>
        <v>0.26383522107875684</v>
      </c>
      <c r="Z83" s="1">
        <f t="shared" si="43"/>
        <v>0</v>
      </c>
      <c r="AA83" s="1">
        <f t="shared" si="34"/>
        <v>0.26383522107875684</v>
      </c>
      <c r="AB83" s="1">
        <f t="shared" si="35"/>
        <v>0</v>
      </c>
      <c r="AC83" s="1">
        <f t="shared" si="36"/>
        <v>0.26383522107875684</v>
      </c>
      <c r="AD83" s="1">
        <f t="shared" si="37"/>
        <v>0.52767044215751369</v>
      </c>
      <c r="AE83" s="1">
        <f t="shared" si="38"/>
        <v>0</v>
      </c>
      <c r="AF83" s="1">
        <f t="shared" si="39"/>
        <v>0.26383522107875684</v>
      </c>
      <c r="AG83" s="1">
        <f t="shared" si="40"/>
        <v>0</v>
      </c>
      <c r="AH83" s="1">
        <f t="shared" si="41"/>
        <v>0</v>
      </c>
      <c r="AI83" s="1">
        <f t="shared" si="44"/>
        <v>0.26383522107875684</v>
      </c>
      <c r="AJ83" s="1">
        <f t="shared" si="45"/>
        <v>0.79150566323627047</v>
      </c>
      <c r="AK83" s="1">
        <f t="shared" si="46"/>
        <v>0.17589014738583789</v>
      </c>
      <c r="AL83" s="1">
        <f t="shared" si="47"/>
        <v>0.13191761053937842</v>
      </c>
      <c r="AM83" s="1">
        <f t="shared" si="48"/>
        <v>0.26383522107875684</v>
      </c>
      <c r="AN83" s="1">
        <f t="shared" si="49"/>
        <v>0.26383522107875684</v>
      </c>
      <c r="AO83" s="1">
        <f t="shared" si="50"/>
        <v>8.7945073692918943E-2</v>
      </c>
    </row>
    <row r="84" spans="1:41" x14ac:dyDescent="0.2">
      <c r="A84">
        <v>82</v>
      </c>
      <c r="B84" t="s">
        <v>33</v>
      </c>
      <c r="C84">
        <v>1</v>
      </c>
      <c r="D84">
        <v>2</v>
      </c>
      <c r="E84">
        <v>3</v>
      </c>
      <c r="F84">
        <v>3</v>
      </c>
      <c r="G84">
        <v>3</v>
      </c>
      <c r="H84">
        <v>3</v>
      </c>
      <c r="I84">
        <v>3</v>
      </c>
      <c r="J84">
        <v>1</v>
      </c>
      <c r="K84">
        <v>1</v>
      </c>
      <c r="L84">
        <v>1</v>
      </c>
      <c r="M84">
        <v>3</v>
      </c>
      <c r="N84">
        <v>2</v>
      </c>
      <c r="O84">
        <v>1</v>
      </c>
      <c r="P84">
        <v>1</v>
      </c>
      <c r="Q84">
        <v>1</v>
      </c>
      <c r="R84">
        <v>125.27</v>
      </c>
      <c r="S84">
        <v>25886.612000000001</v>
      </c>
      <c r="T84" s="1">
        <f t="shared" si="29"/>
        <v>0.48391809635034511</v>
      </c>
      <c r="U84" s="1">
        <f t="shared" si="30"/>
        <v>0.96783619270069021</v>
      </c>
      <c r="V84" s="1">
        <f t="shared" si="31"/>
        <v>1.4517542890510353</v>
      </c>
      <c r="W84" s="1">
        <f t="shared" si="32"/>
        <v>1.4517542890510353</v>
      </c>
      <c r="X84" s="1">
        <f t="shared" si="33"/>
        <v>1.4517542890510353</v>
      </c>
      <c r="Y84" s="1">
        <f t="shared" si="42"/>
        <v>1.4517542890510353</v>
      </c>
      <c r="Z84" s="1">
        <f t="shared" si="43"/>
        <v>1.4517542890510353</v>
      </c>
      <c r="AA84" s="1">
        <f t="shared" si="34"/>
        <v>0.48391809635034511</v>
      </c>
      <c r="AB84" s="1">
        <f t="shared" si="35"/>
        <v>0.48391809635034511</v>
      </c>
      <c r="AC84" s="1">
        <f t="shared" si="36"/>
        <v>0.48391809635034511</v>
      </c>
      <c r="AD84" s="1">
        <f t="shared" si="37"/>
        <v>1.4517542890510353</v>
      </c>
      <c r="AE84" s="1">
        <f t="shared" si="38"/>
        <v>0.96783619270069021</v>
      </c>
      <c r="AF84" s="1">
        <f t="shared" si="39"/>
        <v>0.48391809635034511</v>
      </c>
      <c r="AG84" s="1">
        <f t="shared" si="40"/>
        <v>0.48391809635034511</v>
      </c>
      <c r="AH84" s="1">
        <f t="shared" si="41"/>
        <v>0.48391809635034511</v>
      </c>
      <c r="AI84" s="1">
        <f t="shared" si="44"/>
        <v>0.72587714452551766</v>
      </c>
      <c r="AJ84" s="1">
        <f t="shared" si="45"/>
        <v>1.4517542890510353</v>
      </c>
      <c r="AK84" s="1">
        <f t="shared" si="46"/>
        <v>1.4517542890510355</v>
      </c>
      <c r="AL84" s="1">
        <f t="shared" si="47"/>
        <v>0.48391809635034511</v>
      </c>
      <c r="AM84" s="1">
        <f t="shared" si="48"/>
        <v>0.48391809635034511</v>
      </c>
      <c r="AN84" s="1">
        <f t="shared" si="49"/>
        <v>1.2097952408758628</v>
      </c>
      <c r="AO84" s="1">
        <f t="shared" si="50"/>
        <v>0.48391809635034511</v>
      </c>
    </row>
    <row r="85" spans="1:41" x14ac:dyDescent="0.2">
      <c r="A85">
        <v>83</v>
      </c>
      <c r="B85" t="s">
        <v>22</v>
      </c>
      <c r="C85">
        <v>3</v>
      </c>
      <c r="D85">
        <v>3</v>
      </c>
      <c r="E85">
        <v>3</v>
      </c>
      <c r="F85">
        <v>3</v>
      </c>
      <c r="G85">
        <v>2</v>
      </c>
      <c r="H85">
        <v>2</v>
      </c>
      <c r="I85">
        <v>1</v>
      </c>
      <c r="J85">
        <v>2</v>
      </c>
      <c r="K85">
        <v>2</v>
      </c>
      <c r="L85">
        <v>2</v>
      </c>
      <c r="M85">
        <v>3</v>
      </c>
      <c r="N85">
        <v>3</v>
      </c>
      <c r="O85">
        <v>0</v>
      </c>
      <c r="P85">
        <v>3</v>
      </c>
      <c r="Q85">
        <v>1</v>
      </c>
      <c r="R85">
        <v>53.222000000000001</v>
      </c>
      <c r="S85">
        <v>25886.612000000001</v>
      </c>
      <c r="T85" s="1">
        <f t="shared" si="29"/>
        <v>0.61678986805998404</v>
      </c>
      <c r="U85" s="1">
        <f t="shared" si="30"/>
        <v>0.61678986805998404</v>
      </c>
      <c r="V85" s="1">
        <f t="shared" si="31"/>
        <v>0.61678986805998404</v>
      </c>
      <c r="W85" s="1">
        <f t="shared" si="32"/>
        <v>0.61678986805998404</v>
      </c>
      <c r="X85" s="1">
        <f t="shared" si="33"/>
        <v>0.41119324537332269</v>
      </c>
      <c r="Y85" s="1">
        <f t="shared" si="42"/>
        <v>0.41119324537332269</v>
      </c>
      <c r="Z85" s="1">
        <f t="shared" si="43"/>
        <v>0.20559662268666135</v>
      </c>
      <c r="AA85" s="1">
        <f t="shared" si="34"/>
        <v>0.41119324537332269</v>
      </c>
      <c r="AB85" s="1">
        <f t="shared" si="35"/>
        <v>0.41119324537332269</v>
      </c>
      <c r="AC85" s="1">
        <f t="shared" si="36"/>
        <v>0.41119324537332269</v>
      </c>
      <c r="AD85" s="1">
        <f t="shared" si="37"/>
        <v>0.61678986805998404</v>
      </c>
      <c r="AE85" s="1">
        <f t="shared" si="38"/>
        <v>0.61678986805998404</v>
      </c>
      <c r="AF85" s="1">
        <f t="shared" si="39"/>
        <v>0</v>
      </c>
      <c r="AG85" s="1">
        <f t="shared" si="40"/>
        <v>0.61678986805998404</v>
      </c>
      <c r="AH85" s="1">
        <f t="shared" si="41"/>
        <v>0.20559662268666135</v>
      </c>
      <c r="AI85" s="1">
        <f t="shared" si="44"/>
        <v>0.61678986805998404</v>
      </c>
      <c r="AJ85" s="1">
        <f t="shared" si="45"/>
        <v>0.61678986805998404</v>
      </c>
      <c r="AK85" s="1">
        <f t="shared" si="46"/>
        <v>0.34266103781110219</v>
      </c>
      <c r="AL85" s="1">
        <f t="shared" si="47"/>
        <v>0.41119324537332269</v>
      </c>
      <c r="AM85" s="1">
        <f t="shared" si="48"/>
        <v>0.41119324537332269</v>
      </c>
      <c r="AN85" s="1">
        <f t="shared" si="49"/>
        <v>0.61678986805998404</v>
      </c>
      <c r="AO85" s="1">
        <f t="shared" si="50"/>
        <v>0.27412883024888179</v>
      </c>
    </row>
    <row r="86" spans="1:41" x14ac:dyDescent="0.2">
      <c r="A86">
        <v>84</v>
      </c>
      <c r="B86" t="s">
        <v>48</v>
      </c>
      <c r="C86">
        <v>0</v>
      </c>
      <c r="D86">
        <v>1</v>
      </c>
      <c r="E86">
        <v>3</v>
      </c>
      <c r="F86">
        <v>3</v>
      </c>
      <c r="G86">
        <v>1</v>
      </c>
      <c r="H86">
        <v>1</v>
      </c>
      <c r="I86">
        <v>0</v>
      </c>
      <c r="J86">
        <v>2</v>
      </c>
      <c r="K86">
        <v>0</v>
      </c>
      <c r="L86">
        <v>1</v>
      </c>
      <c r="M86">
        <v>0</v>
      </c>
      <c r="N86">
        <v>1</v>
      </c>
      <c r="O86">
        <v>0</v>
      </c>
      <c r="P86">
        <v>1</v>
      </c>
      <c r="Q86">
        <v>0</v>
      </c>
      <c r="R86">
        <v>144.93899999999999</v>
      </c>
      <c r="S86">
        <v>25886.612000000001</v>
      </c>
      <c r="T86" s="1">
        <f t="shared" si="29"/>
        <v>0</v>
      </c>
      <c r="U86" s="1">
        <f t="shared" si="30"/>
        <v>0.5598994569084591</v>
      </c>
      <c r="V86" s="1">
        <f t="shared" si="31"/>
        <v>1.6796983707253772</v>
      </c>
      <c r="W86" s="1">
        <f t="shared" si="32"/>
        <v>1.6796983707253772</v>
      </c>
      <c r="X86" s="1">
        <f t="shared" si="33"/>
        <v>0.5598994569084591</v>
      </c>
      <c r="Y86" s="1">
        <f t="shared" si="42"/>
        <v>0.5598994569084591</v>
      </c>
      <c r="Z86" s="1">
        <f t="shared" si="43"/>
        <v>0</v>
      </c>
      <c r="AA86" s="1">
        <f t="shared" si="34"/>
        <v>1.1197989138169182</v>
      </c>
      <c r="AB86" s="1">
        <f t="shared" si="35"/>
        <v>0</v>
      </c>
      <c r="AC86" s="1">
        <f t="shared" si="36"/>
        <v>0.5598994569084591</v>
      </c>
      <c r="AD86" s="1">
        <f t="shared" si="37"/>
        <v>0</v>
      </c>
      <c r="AE86" s="1">
        <f t="shared" si="38"/>
        <v>0.5598994569084591</v>
      </c>
      <c r="AF86" s="1">
        <f t="shared" si="39"/>
        <v>0</v>
      </c>
      <c r="AG86" s="1">
        <f t="shared" si="40"/>
        <v>0.5598994569084591</v>
      </c>
      <c r="AH86" s="1">
        <f t="shared" si="41"/>
        <v>0</v>
      </c>
      <c r="AI86" s="1">
        <f t="shared" si="44"/>
        <v>0.27994972845422955</v>
      </c>
      <c r="AJ86" s="1">
        <f t="shared" si="45"/>
        <v>1.6796983707253772</v>
      </c>
      <c r="AK86" s="1">
        <f t="shared" si="46"/>
        <v>0.37326630460563942</v>
      </c>
      <c r="AL86" s="1">
        <f t="shared" si="47"/>
        <v>0.5598994569084591</v>
      </c>
      <c r="AM86" s="1">
        <f t="shared" si="48"/>
        <v>0.5598994569084591</v>
      </c>
      <c r="AN86" s="1">
        <f t="shared" si="49"/>
        <v>0.27994972845422955</v>
      </c>
      <c r="AO86" s="1">
        <f t="shared" si="50"/>
        <v>0.18663315230281971</v>
      </c>
    </row>
    <row r="87" spans="1:41" x14ac:dyDescent="0.2">
      <c r="A87">
        <v>85</v>
      </c>
      <c r="B87" t="s">
        <v>22</v>
      </c>
      <c r="C87">
        <v>3</v>
      </c>
      <c r="D87">
        <v>3</v>
      </c>
      <c r="E87">
        <v>3</v>
      </c>
      <c r="F87">
        <v>3</v>
      </c>
      <c r="G87">
        <v>3</v>
      </c>
      <c r="H87">
        <v>3</v>
      </c>
      <c r="I87">
        <v>2</v>
      </c>
      <c r="J87">
        <v>2</v>
      </c>
      <c r="K87">
        <v>2</v>
      </c>
      <c r="L87">
        <v>2</v>
      </c>
      <c r="M87">
        <v>1</v>
      </c>
      <c r="N87">
        <v>2</v>
      </c>
      <c r="O87">
        <v>0</v>
      </c>
      <c r="P87">
        <v>1</v>
      </c>
      <c r="Q87">
        <v>1</v>
      </c>
      <c r="R87">
        <v>26.061</v>
      </c>
      <c r="S87">
        <v>25886.612000000001</v>
      </c>
      <c r="T87" s="1">
        <f t="shared" si="29"/>
        <v>0.30202098289262419</v>
      </c>
      <c r="U87" s="1">
        <f t="shared" si="30"/>
        <v>0.30202098289262419</v>
      </c>
      <c r="V87" s="1">
        <f t="shared" si="31"/>
        <v>0.30202098289262419</v>
      </c>
      <c r="W87" s="1">
        <f t="shared" si="32"/>
        <v>0.30202098289262419</v>
      </c>
      <c r="X87" s="1">
        <f t="shared" si="33"/>
        <v>0.30202098289262419</v>
      </c>
      <c r="Y87" s="1">
        <f t="shared" si="42"/>
        <v>0.30202098289262419</v>
      </c>
      <c r="Z87" s="1">
        <f t="shared" si="43"/>
        <v>0.20134732192841612</v>
      </c>
      <c r="AA87" s="1">
        <f t="shared" si="34"/>
        <v>0.20134732192841612</v>
      </c>
      <c r="AB87" s="1">
        <f t="shared" si="35"/>
        <v>0.20134732192841612</v>
      </c>
      <c r="AC87" s="1">
        <f t="shared" si="36"/>
        <v>0.20134732192841612</v>
      </c>
      <c r="AD87" s="1">
        <f t="shared" si="37"/>
        <v>0.10067366096420806</v>
      </c>
      <c r="AE87" s="1">
        <f t="shared" si="38"/>
        <v>0.20134732192841612</v>
      </c>
      <c r="AF87" s="1">
        <f t="shared" si="39"/>
        <v>0</v>
      </c>
      <c r="AG87" s="1">
        <f t="shared" si="40"/>
        <v>0.10067366096420806</v>
      </c>
      <c r="AH87" s="1">
        <f t="shared" si="41"/>
        <v>0.10067366096420806</v>
      </c>
      <c r="AI87" s="1">
        <f t="shared" si="44"/>
        <v>0.30202098289262419</v>
      </c>
      <c r="AJ87" s="1">
        <f t="shared" si="45"/>
        <v>0.30202098289262419</v>
      </c>
      <c r="AK87" s="1">
        <f t="shared" si="46"/>
        <v>0.2684630959045548</v>
      </c>
      <c r="AL87" s="1">
        <f t="shared" si="47"/>
        <v>0.20134732192841612</v>
      </c>
      <c r="AM87" s="1">
        <f t="shared" si="48"/>
        <v>0.20134732192841612</v>
      </c>
      <c r="AN87" s="1">
        <f t="shared" si="49"/>
        <v>0.1510104914463121</v>
      </c>
      <c r="AO87" s="1">
        <f t="shared" si="50"/>
        <v>6.7115773976138701E-2</v>
      </c>
    </row>
    <row r="88" spans="1:41" x14ac:dyDescent="0.2">
      <c r="A88">
        <v>86</v>
      </c>
      <c r="B88" t="s">
        <v>22</v>
      </c>
      <c r="C88">
        <v>2</v>
      </c>
      <c r="D88">
        <v>2</v>
      </c>
      <c r="E88">
        <v>0</v>
      </c>
      <c r="F88">
        <v>3</v>
      </c>
      <c r="G88">
        <v>0</v>
      </c>
      <c r="H88">
        <v>0</v>
      </c>
      <c r="I88">
        <v>0</v>
      </c>
      <c r="J88">
        <v>1</v>
      </c>
      <c r="K88">
        <v>1</v>
      </c>
      <c r="L88">
        <v>1</v>
      </c>
      <c r="M88">
        <v>1</v>
      </c>
      <c r="N88">
        <v>3</v>
      </c>
      <c r="O88">
        <v>0</v>
      </c>
      <c r="P88">
        <v>2</v>
      </c>
      <c r="Q88">
        <v>1</v>
      </c>
      <c r="R88">
        <v>457.32</v>
      </c>
      <c r="S88">
        <v>25886.612000000001</v>
      </c>
      <c r="T88" s="1">
        <f t="shared" si="29"/>
        <v>3.5332549504740132</v>
      </c>
      <c r="U88" s="1">
        <f t="shared" si="30"/>
        <v>3.5332549504740132</v>
      </c>
      <c r="V88" s="1">
        <f t="shared" si="31"/>
        <v>0</v>
      </c>
      <c r="W88" s="1">
        <f t="shared" si="32"/>
        <v>5.2998824257110195</v>
      </c>
      <c r="X88" s="1">
        <f t="shared" si="33"/>
        <v>0</v>
      </c>
      <c r="Y88" s="1">
        <f t="shared" si="42"/>
        <v>0</v>
      </c>
      <c r="Z88" s="1">
        <f t="shared" si="43"/>
        <v>0</v>
      </c>
      <c r="AA88" s="1">
        <f t="shared" si="34"/>
        <v>1.7666274752370066</v>
      </c>
      <c r="AB88" s="1">
        <f t="shared" si="35"/>
        <v>1.7666274752370066</v>
      </c>
      <c r="AC88" s="1">
        <f t="shared" si="36"/>
        <v>1.7666274752370066</v>
      </c>
      <c r="AD88" s="1">
        <f t="shared" si="37"/>
        <v>1.7666274752370066</v>
      </c>
      <c r="AE88" s="1">
        <f t="shared" si="38"/>
        <v>5.2998824257110195</v>
      </c>
      <c r="AF88" s="1">
        <f t="shared" si="39"/>
        <v>0</v>
      </c>
      <c r="AG88" s="1">
        <f t="shared" si="40"/>
        <v>3.5332549504740132</v>
      </c>
      <c r="AH88" s="1">
        <f t="shared" si="41"/>
        <v>1.7666274752370066</v>
      </c>
      <c r="AI88" s="1">
        <f t="shared" si="44"/>
        <v>3.5332549504740132</v>
      </c>
      <c r="AJ88" s="1">
        <f t="shared" si="45"/>
        <v>2.6499412128555098</v>
      </c>
      <c r="AK88" s="1">
        <f t="shared" si="46"/>
        <v>0</v>
      </c>
      <c r="AL88" s="1">
        <f t="shared" si="47"/>
        <v>1.7666274752370066</v>
      </c>
      <c r="AM88" s="1">
        <f t="shared" si="48"/>
        <v>1.7666274752370066</v>
      </c>
      <c r="AN88" s="1">
        <f t="shared" si="49"/>
        <v>3.5332549504740132</v>
      </c>
      <c r="AO88" s="1">
        <f t="shared" si="50"/>
        <v>1.7666274752370066</v>
      </c>
    </row>
    <row r="89" spans="1:41" x14ac:dyDescent="0.2">
      <c r="A89">
        <v>87</v>
      </c>
      <c r="B89" t="s">
        <v>49</v>
      </c>
      <c r="C89">
        <v>1</v>
      </c>
      <c r="D89">
        <v>1</v>
      </c>
      <c r="E89">
        <v>0</v>
      </c>
      <c r="F89">
        <v>3</v>
      </c>
      <c r="G89">
        <v>3</v>
      </c>
      <c r="H89">
        <v>2</v>
      </c>
      <c r="I89">
        <v>2</v>
      </c>
      <c r="J89">
        <v>1</v>
      </c>
      <c r="K89">
        <v>2</v>
      </c>
      <c r="L89">
        <v>1</v>
      </c>
      <c r="M89">
        <v>1</v>
      </c>
      <c r="N89">
        <v>1</v>
      </c>
      <c r="O89">
        <v>0</v>
      </c>
      <c r="P89">
        <v>0</v>
      </c>
      <c r="Q89">
        <v>0</v>
      </c>
      <c r="R89">
        <v>361.89499999999998</v>
      </c>
      <c r="S89">
        <v>25886.612000000001</v>
      </c>
      <c r="T89" s="1">
        <f t="shared" si="29"/>
        <v>1.3980006344592331</v>
      </c>
      <c r="U89" s="1">
        <f t="shared" si="30"/>
        <v>1.3980006344592331</v>
      </c>
      <c r="V89" s="1">
        <f t="shared" si="31"/>
        <v>0</v>
      </c>
      <c r="W89" s="1">
        <f t="shared" si="32"/>
        <v>4.194001903377699</v>
      </c>
      <c r="X89" s="1">
        <f t="shared" si="33"/>
        <v>4.194001903377699</v>
      </c>
      <c r="Y89" s="1">
        <f t="shared" si="42"/>
        <v>2.7960012689184661</v>
      </c>
      <c r="Z89" s="1">
        <f t="shared" si="43"/>
        <v>2.7960012689184661</v>
      </c>
      <c r="AA89" s="1">
        <f t="shared" si="34"/>
        <v>1.3980006344592331</v>
      </c>
      <c r="AB89" s="1">
        <f t="shared" si="35"/>
        <v>2.7960012689184661</v>
      </c>
      <c r="AC89" s="1">
        <f t="shared" si="36"/>
        <v>1.3980006344592331</v>
      </c>
      <c r="AD89" s="1">
        <f t="shared" si="37"/>
        <v>1.3980006344592331</v>
      </c>
      <c r="AE89" s="1">
        <f t="shared" si="38"/>
        <v>1.3980006344592331</v>
      </c>
      <c r="AF89" s="1">
        <f t="shared" si="39"/>
        <v>0</v>
      </c>
      <c r="AG89" s="1">
        <f t="shared" si="40"/>
        <v>0</v>
      </c>
      <c r="AH89" s="1">
        <f t="shared" si="41"/>
        <v>0</v>
      </c>
      <c r="AI89" s="1">
        <f t="shared" si="44"/>
        <v>1.3980006344592331</v>
      </c>
      <c r="AJ89" s="1">
        <f t="shared" si="45"/>
        <v>2.0970009516888495</v>
      </c>
      <c r="AK89" s="1">
        <f t="shared" si="46"/>
        <v>3.2620014804048769</v>
      </c>
      <c r="AL89" s="1">
        <f t="shared" si="47"/>
        <v>2.0970009516888495</v>
      </c>
      <c r="AM89" s="1">
        <f t="shared" si="48"/>
        <v>1.3980006344592331</v>
      </c>
      <c r="AN89" s="1">
        <f t="shared" si="49"/>
        <v>1.3980006344592331</v>
      </c>
      <c r="AO89" s="1">
        <f t="shared" si="50"/>
        <v>0</v>
      </c>
    </row>
    <row r="90" spans="1:41" x14ac:dyDescent="0.2">
      <c r="A90">
        <v>88</v>
      </c>
      <c r="B90" t="s">
        <v>49</v>
      </c>
      <c r="C90">
        <v>2</v>
      </c>
      <c r="D90">
        <v>2</v>
      </c>
      <c r="E90">
        <v>2</v>
      </c>
      <c r="F90">
        <v>3</v>
      </c>
      <c r="G90">
        <v>1</v>
      </c>
      <c r="H90">
        <v>1</v>
      </c>
      <c r="I90">
        <v>1</v>
      </c>
      <c r="J90">
        <v>1</v>
      </c>
      <c r="K90">
        <v>2</v>
      </c>
      <c r="L90">
        <v>1</v>
      </c>
      <c r="M90">
        <v>1</v>
      </c>
      <c r="N90">
        <v>1</v>
      </c>
      <c r="O90">
        <v>1</v>
      </c>
      <c r="P90">
        <v>1</v>
      </c>
      <c r="Q90">
        <v>0</v>
      </c>
      <c r="R90">
        <v>296.613</v>
      </c>
      <c r="S90">
        <v>25886.612000000001</v>
      </c>
      <c r="T90" s="1">
        <f t="shared" si="29"/>
        <v>2.2916324469188938</v>
      </c>
      <c r="U90" s="1">
        <f t="shared" si="30"/>
        <v>2.2916324469188938</v>
      </c>
      <c r="V90" s="1">
        <f t="shared" si="31"/>
        <v>2.2916324469188938</v>
      </c>
      <c r="W90" s="1">
        <f t="shared" si="32"/>
        <v>3.4374486703783407</v>
      </c>
      <c r="X90" s="1">
        <f t="shared" si="33"/>
        <v>1.1458162234594469</v>
      </c>
      <c r="Y90" s="1">
        <f t="shared" si="42"/>
        <v>1.1458162234594469</v>
      </c>
      <c r="Z90" s="1">
        <f t="shared" si="43"/>
        <v>1.1458162234594469</v>
      </c>
      <c r="AA90" s="1">
        <f t="shared" si="34"/>
        <v>1.1458162234594469</v>
      </c>
      <c r="AB90" s="1">
        <f t="shared" si="35"/>
        <v>2.2916324469188938</v>
      </c>
      <c r="AC90" s="1">
        <f t="shared" si="36"/>
        <v>1.1458162234594469</v>
      </c>
      <c r="AD90" s="1">
        <f t="shared" si="37"/>
        <v>1.1458162234594469</v>
      </c>
      <c r="AE90" s="1">
        <f t="shared" si="38"/>
        <v>1.1458162234594469</v>
      </c>
      <c r="AF90" s="1">
        <f t="shared" si="39"/>
        <v>1.1458162234594469</v>
      </c>
      <c r="AG90" s="1">
        <f t="shared" si="40"/>
        <v>1.1458162234594469</v>
      </c>
      <c r="AH90" s="1">
        <f t="shared" si="41"/>
        <v>0</v>
      </c>
      <c r="AI90" s="1">
        <f t="shared" si="44"/>
        <v>2.2916324469188938</v>
      </c>
      <c r="AJ90" s="1">
        <f t="shared" si="45"/>
        <v>2.864540558648617</v>
      </c>
      <c r="AK90" s="1">
        <f t="shared" si="46"/>
        <v>1.1458162234594469</v>
      </c>
      <c r="AL90" s="1">
        <f t="shared" si="47"/>
        <v>1.7187243351891703</v>
      </c>
      <c r="AM90" s="1">
        <f t="shared" si="48"/>
        <v>1.1458162234594469</v>
      </c>
      <c r="AN90" s="1">
        <f t="shared" si="49"/>
        <v>1.1458162234594469</v>
      </c>
      <c r="AO90" s="1">
        <f t="shared" si="50"/>
        <v>0.76387748230629793</v>
      </c>
    </row>
    <row r="91" spans="1:41" x14ac:dyDescent="0.2">
      <c r="A91">
        <v>89</v>
      </c>
      <c r="B91" t="s">
        <v>50</v>
      </c>
      <c r="C91">
        <v>2</v>
      </c>
      <c r="D91">
        <v>1</v>
      </c>
      <c r="E91">
        <v>0</v>
      </c>
      <c r="F91">
        <v>2</v>
      </c>
      <c r="G91">
        <v>1</v>
      </c>
      <c r="H91">
        <v>1</v>
      </c>
      <c r="I91">
        <v>0</v>
      </c>
      <c r="J91">
        <v>1</v>
      </c>
      <c r="K91">
        <v>1</v>
      </c>
      <c r="L91">
        <v>1</v>
      </c>
      <c r="M91">
        <v>2</v>
      </c>
      <c r="N91">
        <v>1</v>
      </c>
      <c r="O91">
        <v>1</v>
      </c>
      <c r="P91">
        <v>2</v>
      </c>
      <c r="Q91">
        <v>0</v>
      </c>
      <c r="R91">
        <v>415.44</v>
      </c>
      <c r="S91">
        <v>25886.612000000001</v>
      </c>
      <c r="T91" s="1">
        <f t="shared" si="29"/>
        <v>3.2096900127370858</v>
      </c>
      <c r="U91" s="1">
        <f t="shared" si="30"/>
        <v>1.6048450063685429</v>
      </c>
      <c r="V91" s="1">
        <f t="shared" si="31"/>
        <v>0</v>
      </c>
      <c r="W91" s="1">
        <f t="shared" si="32"/>
        <v>3.2096900127370858</v>
      </c>
      <c r="X91" s="1">
        <f t="shared" si="33"/>
        <v>1.6048450063685429</v>
      </c>
      <c r="Y91" s="1">
        <f t="shared" si="42"/>
        <v>1.6048450063685429</v>
      </c>
      <c r="Z91" s="1">
        <f t="shared" si="43"/>
        <v>0</v>
      </c>
      <c r="AA91" s="1">
        <f t="shared" si="34"/>
        <v>1.6048450063685429</v>
      </c>
      <c r="AB91" s="1">
        <f t="shared" si="35"/>
        <v>1.6048450063685429</v>
      </c>
      <c r="AC91" s="1">
        <f t="shared" si="36"/>
        <v>1.6048450063685429</v>
      </c>
      <c r="AD91" s="1">
        <f t="shared" si="37"/>
        <v>3.2096900127370858</v>
      </c>
      <c r="AE91" s="1">
        <f t="shared" si="38"/>
        <v>1.6048450063685429</v>
      </c>
      <c r="AF91" s="1">
        <f t="shared" si="39"/>
        <v>1.6048450063685429</v>
      </c>
      <c r="AG91" s="1">
        <f t="shared" si="40"/>
        <v>3.2096900127370858</v>
      </c>
      <c r="AH91" s="1">
        <f t="shared" si="41"/>
        <v>0</v>
      </c>
      <c r="AI91" s="1">
        <f t="shared" si="44"/>
        <v>2.4072675095528142</v>
      </c>
      <c r="AJ91" s="1">
        <f t="shared" si="45"/>
        <v>1.6048450063685429</v>
      </c>
      <c r="AK91" s="1">
        <f t="shared" si="46"/>
        <v>1.0698966709123618</v>
      </c>
      <c r="AL91" s="1">
        <f t="shared" si="47"/>
        <v>1.6048450063685429</v>
      </c>
      <c r="AM91" s="1">
        <f t="shared" si="48"/>
        <v>1.6048450063685429</v>
      </c>
      <c r="AN91" s="1">
        <f t="shared" si="49"/>
        <v>2.4072675095528142</v>
      </c>
      <c r="AO91" s="1">
        <f t="shared" si="50"/>
        <v>1.6048450063685429</v>
      </c>
    </row>
    <row r="92" spans="1:41" x14ac:dyDescent="0.2">
      <c r="A92">
        <v>90</v>
      </c>
      <c r="B92" t="s">
        <v>50</v>
      </c>
      <c r="C92">
        <v>1</v>
      </c>
      <c r="D92">
        <v>1</v>
      </c>
      <c r="E92">
        <v>0</v>
      </c>
      <c r="F92">
        <v>2</v>
      </c>
      <c r="G92">
        <v>2</v>
      </c>
      <c r="H92">
        <v>2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0</v>
      </c>
      <c r="P92">
        <v>1</v>
      </c>
      <c r="Q92">
        <v>0</v>
      </c>
      <c r="R92">
        <v>407.42200000000003</v>
      </c>
      <c r="S92">
        <v>25886.612000000001</v>
      </c>
      <c r="T92" s="1">
        <f t="shared" si="29"/>
        <v>1.5738714668416247</v>
      </c>
      <c r="U92" s="1">
        <f t="shared" si="30"/>
        <v>1.5738714668416247</v>
      </c>
      <c r="V92" s="1">
        <f t="shared" si="31"/>
        <v>0</v>
      </c>
      <c r="W92" s="1">
        <f t="shared" si="32"/>
        <v>3.1477429336832494</v>
      </c>
      <c r="X92" s="1">
        <f t="shared" si="33"/>
        <v>3.1477429336832494</v>
      </c>
      <c r="Y92" s="1">
        <f t="shared" si="42"/>
        <v>3.1477429336832494</v>
      </c>
      <c r="Z92" s="1">
        <f t="shared" si="43"/>
        <v>1.5738714668416247</v>
      </c>
      <c r="AA92" s="1">
        <f t="shared" si="34"/>
        <v>1.5738714668416247</v>
      </c>
      <c r="AB92" s="1">
        <f t="shared" si="35"/>
        <v>1.5738714668416247</v>
      </c>
      <c r="AC92" s="1">
        <f t="shared" si="36"/>
        <v>1.5738714668416247</v>
      </c>
      <c r="AD92" s="1">
        <f t="shared" si="37"/>
        <v>1.5738714668416247</v>
      </c>
      <c r="AE92" s="1">
        <f t="shared" si="38"/>
        <v>1.5738714668416247</v>
      </c>
      <c r="AF92" s="1">
        <f t="shared" si="39"/>
        <v>0</v>
      </c>
      <c r="AG92" s="1">
        <f t="shared" si="40"/>
        <v>1.5738714668416247</v>
      </c>
      <c r="AH92" s="1">
        <f t="shared" si="41"/>
        <v>0</v>
      </c>
      <c r="AI92" s="1">
        <f t="shared" si="44"/>
        <v>1.5738714668416247</v>
      </c>
      <c r="AJ92" s="1">
        <f t="shared" si="45"/>
        <v>1.5738714668416247</v>
      </c>
      <c r="AK92" s="1">
        <f t="shared" si="46"/>
        <v>2.6231191114027079</v>
      </c>
      <c r="AL92" s="1">
        <f t="shared" si="47"/>
        <v>1.5738714668416247</v>
      </c>
      <c r="AM92" s="1">
        <f t="shared" si="48"/>
        <v>1.5738714668416247</v>
      </c>
      <c r="AN92" s="1">
        <f t="shared" si="49"/>
        <v>1.5738714668416247</v>
      </c>
      <c r="AO92" s="1">
        <f t="shared" si="50"/>
        <v>0.52462382228054161</v>
      </c>
    </row>
    <row r="93" spans="1:41" x14ac:dyDescent="0.2">
      <c r="A93">
        <v>91</v>
      </c>
      <c r="B93" t="s">
        <v>51</v>
      </c>
      <c r="C93">
        <v>1</v>
      </c>
      <c r="D93">
        <v>1</v>
      </c>
      <c r="E93">
        <v>1</v>
      </c>
      <c r="F93">
        <v>3</v>
      </c>
      <c r="G93">
        <v>0</v>
      </c>
      <c r="H93">
        <v>0</v>
      </c>
      <c r="I93">
        <v>0</v>
      </c>
      <c r="J93">
        <v>1</v>
      </c>
      <c r="K93">
        <v>0</v>
      </c>
      <c r="L93">
        <v>1</v>
      </c>
      <c r="M93">
        <v>3</v>
      </c>
      <c r="N93">
        <v>1</v>
      </c>
      <c r="O93">
        <v>0</v>
      </c>
      <c r="P93">
        <v>0</v>
      </c>
      <c r="Q93">
        <v>0</v>
      </c>
      <c r="R93">
        <v>314.161</v>
      </c>
      <c r="S93">
        <v>25886.612000000001</v>
      </c>
      <c r="T93" s="1">
        <f t="shared" si="29"/>
        <v>1.213604159555526</v>
      </c>
      <c r="U93" s="1">
        <f t="shared" si="30"/>
        <v>1.213604159555526</v>
      </c>
      <c r="V93" s="1">
        <f t="shared" si="31"/>
        <v>1.213604159555526</v>
      </c>
      <c r="W93" s="1">
        <f t="shared" si="32"/>
        <v>3.6408124786665779</v>
      </c>
      <c r="X93" s="1">
        <f t="shared" si="33"/>
        <v>0</v>
      </c>
      <c r="Y93" s="1">
        <f t="shared" si="42"/>
        <v>0</v>
      </c>
      <c r="Z93" s="1">
        <f t="shared" si="43"/>
        <v>0</v>
      </c>
      <c r="AA93" s="1">
        <f t="shared" si="34"/>
        <v>1.213604159555526</v>
      </c>
      <c r="AB93" s="1">
        <f t="shared" si="35"/>
        <v>0</v>
      </c>
      <c r="AC93" s="1">
        <f t="shared" si="36"/>
        <v>1.213604159555526</v>
      </c>
      <c r="AD93" s="1">
        <f t="shared" si="37"/>
        <v>3.6408124786665779</v>
      </c>
      <c r="AE93" s="1">
        <f t="shared" si="38"/>
        <v>1.213604159555526</v>
      </c>
      <c r="AF93" s="1">
        <f t="shared" si="39"/>
        <v>0</v>
      </c>
      <c r="AG93" s="1">
        <f t="shared" si="40"/>
        <v>0</v>
      </c>
      <c r="AH93" s="1">
        <f t="shared" si="41"/>
        <v>0</v>
      </c>
      <c r="AI93" s="1">
        <f t="shared" si="44"/>
        <v>1.213604159555526</v>
      </c>
      <c r="AJ93" s="1">
        <f t="shared" si="45"/>
        <v>2.4272083191110521</v>
      </c>
      <c r="AK93" s="1">
        <f t="shared" si="46"/>
        <v>0</v>
      </c>
      <c r="AL93" s="1">
        <f t="shared" si="47"/>
        <v>0.60680207977776301</v>
      </c>
      <c r="AM93" s="1">
        <f t="shared" si="48"/>
        <v>1.213604159555526</v>
      </c>
      <c r="AN93" s="1">
        <f t="shared" si="49"/>
        <v>2.4272083191110521</v>
      </c>
      <c r="AO93" s="1">
        <f t="shared" si="50"/>
        <v>0</v>
      </c>
    </row>
    <row r="94" spans="1:41" x14ac:dyDescent="0.2">
      <c r="A94">
        <v>92</v>
      </c>
      <c r="B94" t="s">
        <v>48</v>
      </c>
      <c r="C94">
        <v>1</v>
      </c>
      <c r="D94">
        <v>1</v>
      </c>
      <c r="E94">
        <v>3</v>
      </c>
      <c r="F94">
        <v>3</v>
      </c>
      <c r="G94">
        <v>3</v>
      </c>
      <c r="H94">
        <v>2</v>
      </c>
      <c r="I94">
        <v>0</v>
      </c>
      <c r="J94">
        <v>2</v>
      </c>
      <c r="K94">
        <v>0</v>
      </c>
      <c r="L94">
        <v>1</v>
      </c>
      <c r="M94">
        <v>0</v>
      </c>
      <c r="N94">
        <v>0</v>
      </c>
      <c r="O94">
        <v>1</v>
      </c>
      <c r="P94">
        <v>1</v>
      </c>
      <c r="Q94">
        <v>0</v>
      </c>
      <c r="R94">
        <v>240.44800000000001</v>
      </c>
      <c r="S94">
        <v>25886.612000000001</v>
      </c>
      <c r="T94" s="1">
        <f t="shared" si="29"/>
        <v>0.92885078974413482</v>
      </c>
      <c r="U94" s="1">
        <f t="shared" si="30"/>
        <v>0.92885078974413482</v>
      </c>
      <c r="V94" s="1">
        <f t="shared" si="31"/>
        <v>2.7865523692324046</v>
      </c>
      <c r="W94" s="1">
        <f t="shared" si="32"/>
        <v>2.7865523692324046</v>
      </c>
      <c r="X94" s="1">
        <f t="shared" si="33"/>
        <v>2.7865523692324046</v>
      </c>
      <c r="Y94" s="1">
        <f t="shared" si="42"/>
        <v>1.8577015794882696</v>
      </c>
      <c r="Z94" s="1">
        <f t="shared" si="43"/>
        <v>0</v>
      </c>
      <c r="AA94" s="1">
        <f t="shared" si="34"/>
        <v>1.8577015794882696</v>
      </c>
      <c r="AB94" s="1">
        <f t="shared" si="35"/>
        <v>0</v>
      </c>
      <c r="AC94" s="1">
        <f t="shared" si="36"/>
        <v>0.92885078974413482</v>
      </c>
      <c r="AD94" s="1">
        <f t="shared" si="37"/>
        <v>0</v>
      </c>
      <c r="AE94" s="1">
        <f t="shared" si="38"/>
        <v>0</v>
      </c>
      <c r="AF94" s="1">
        <f t="shared" si="39"/>
        <v>0.92885078974413482</v>
      </c>
      <c r="AG94" s="1">
        <f t="shared" si="40"/>
        <v>0.92885078974413482</v>
      </c>
      <c r="AH94" s="1">
        <f t="shared" si="41"/>
        <v>0</v>
      </c>
      <c r="AI94" s="1">
        <f t="shared" si="44"/>
        <v>0.92885078974413482</v>
      </c>
      <c r="AJ94" s="1">
        <f t="shared" si="45"/>
        <v>2.7865523692324046</v>
      </c>
      <c r="AK94" s="1">
        <f t="shared" si="46"/>
        <v>1.5480846495735581</v>
      </c>
      <c r="AL94" s="1">
        <f t="shared" si="47"/>
        <v>0.92885078974413482</v>
      </c>
      <c r="AM94" s="1">
        <f t="shared" si="48"/>
        <v>0.92885078974413482</v>
      </c>
      <c r="AN94" s="1">
        <f t="shared" si="49"/>
        <v>0</v>
      </c>
      <c r="AO94" s="1">
        <f t="shared" si="50"/>
        <v>0.61923385982942325</v>
      </c>
    </row>
    <row r="95" spans="1:41" x14ac:dyDescent="0.2">
      <c r="A95">
        <v>93</v>
      </c>
      <c r="B95" t="s">
        <v>24</v>
      </c>
      <c r="C95">
        <v>2</v>
      </c>
      <c r="D95">
        <v>3</v>
      </c>
      <c r="E95">
        <v>3</v>
      </c>
      <c r="F95">
        <v>3</v>
      </c>
      <c r="G95">
        <v>3</v>
      </c>
      <c r="H95">
        <v>3</v>
      </c>
      <c r="I95">
        <v>1</v>
      </c>
      <c r="J95">
        <v>2</v>
      </c>
      <c r="K95">
        <v>2</v>
      </c>
      <c r="L95">
        <v>1</v>
      </c>
      <c r="M95">
        <v>2</v>
      </c>
      <c r="N95">
        <v>3</v>
      </c>
      <c r="O95">
        <v>0</v>
      </c>
      <c r="P95">
        <v>2</v>
      </c>
      <c r="Q95">
        <v>0</v>
      </c>
      <c r="R95">
        <v>51.488</v>
      </c>
      <c r="S95">
        <v>25886.612000000001</v>
      </c>
      <c r="T95" s="1">
        <f t="shared" si="29"/>
        <v>0.39779635898278232</v>
      </c>
      <c r="U95" s="1">
        <f t="shared" si="30"/>
        <v>0.59669453847417353</v>
      </c>
      <c r="V95" s="1">
        <f t="shared" si="31"/>
        <v>0.59669453847417353</v>
      </c>
      <c r="W95" s="1">
        <f t="shared" si="32"/>
        <v>0.59669453847417353</v>
      </c>
      <c r="X95" s="1">
        <f t="shared" si="33"/>
        <v>0.59669453847417353</v>
      </c>
      <c r="Y95" s="1">
        <f t="shared" si="42"/>
        <v>0.59669453847417353</v>
      </c>
      <c r="Z95" s="1">
        <f t="shared" si="43"/>
        <v>0.19889817949139116</v>
      </c>
      <c r="AA95" s="1">
        <f t="shared" si="34"/>
        <v>0.39779635898278232</v>
      </c>
      <c r="AB95" s="1">
        <f t="shared" si="35"/>
        <v>0.39779635898278232</v>
      </c>
      <c r="AC95" s="1">
        <f t="shared" si="36"/>
        <v>0.19889817949139116</v>
      </c>
      <c r="AD95" s="1">
        <f t="shared" si="37"/>
        <v>0.39779635898278232</v>
      </c>
      <c r="AE95" s="1">
        <f t="shared" si="38"/>
        <v>0.59669453847417353</v>
      </c>
      <c r="AF95" s="1">
        <f t="shared" si="39"/>
        <v>0</v>
      </c>
      <c r="AG95" s="1">
        <f t="shared" si="40"/>
        <v>0.39779635898278232</v>
      </c>
      <c r="AH95" s="1">
        <f t="shared" si="41"/>
        <v>0</v>
      </c>
      <c r="AI95" s="1">
        <f t="shared" si="44"/>
        <v>0.49724544872847792</v>
      </c>
      <c r="AJ95" s="1">
        <f t="shared" si="45"/>
        <v>0.59669453847417353</v>
      </c>
      <c r="AK95" s="1">
        <f t="shared" si="46"/>
        <v>0.46409575214657939</v>
      </c>
      <c r="AL95" s="1">
        <f t="shared" si="47"/>
        <v>0.39779635898278232</v>
      </c>
      <c r="AM95" s="1">
        <f t="shared" si="48"/>
        <v>0.19889817949139116</v>
      </c>
      <c r="AN95" s="1">
        <f t="shared" si="49"/>
        <v>0.49724544872847792</v>
      </c>
      <c r="AO95" s="1">
        <f t="shared" si="50"/>
        <v>0.13259878632759411</v>
      </c>
    </row>
    <row r="96" spans="1:41" x14ac:dyDescent="0.2">
      <c r="A96">
        <v>94</v>
      </c>
      <c r="B96" t="s">
        <v>36</v>
      </c>
      <c r="C96">
        <v>2</v>
      </c>
      <c r="D96">
        <v>2</v>
      </c>
      <c r="E96">
        <v>2</v>
      </c>
      <c r="F96">
        <v>3</v>
      </c>
      <c r="G96">
        <v>2</v>
      </c>
      <c r="H96">
        <v>2</v>
      </c>
      <c r="I96">
        <v>1</v>
      </c>
      <c r="J96">
        <v>1</v>
      </c>
      <c r="K96">
        <v>2</v>
      </c>
      <c r="L96">
        <v>1</v>
      </c>
      <c r="M96">
        <v>2</v>
      </c>
      <c r="N96">
        <v>2</v>
      </c>
      <c r="O96">
        <v>1</v>
      </c>
      <c r="P96">
        <v>0</v>
      </c>
      <c r="Q96">
        <v>0</v>
      </c>
      <c r="R96">
        <v>251.65299999999999</v>
      </c>
      <c r="S96">
        <v>25886.612000000001</v>
      </c>
      <c r="T96" s="1">
        <f t="shared" si="29"/>
        <v>1.9442714249357929</v>
      </c>
      <c r="U96" s="1">
        <f t="shared" si="30"/>
        <v>1.9442714249357929</v>
      </c>
      <c r="V96" s="1">
        <f t="shared" si="31"/>
        <v>1.9442714249357929</v>
      </c>
      <c r="W96" s="1">
        <f t="shared" si="32"/>
        <v>2.9164071374036893</v>
      </c>
      <c r="X96" s="1">
        <f t="shared" si="33"/>
        <v>1.9442714249357929</v>
      </c>
      <c r="Y96" s="1">
        <f t="shared" si="42"/>
        <v>1.9442714249357929</v>
      </c>
      <c r="Z96" s="1">
        <f t="shared" si="43"/>
        <v>0.97213571246789643</v>
      </c>
      <c r="AA96" s="1">
        <f t="shared" si="34"/>
        <v>0.97213571246789643</v>
      </c>
      <c r="AB96" s="1">
        <f t="shared" si="35"/>
        <v>1.9442714249357929</v>
      </c>
      <c r="AC96" s="1">
        <f t="shared" si="36"/>
        <v>0.97213571246789643</v>
      </c>
      <c r="AD96" s="1">
        <f t="shared" si="37"/>
        <v>1.9442714249357929</v>
      </c>
      <c r="AE96" s="1">
        <f t="shared" si="38"/>
        <v>1.9442714249357929</v>
      </c>
      <c r="AF96" s="1">
        <f t="shared" si="39"/>
        <v>0.97213571246789643</v>
      </c>
      <c r="AG96" s="1">
        <f t="shared" si="40"/>
        <v>0</v>
      </c>
      <c r="AH96" s="1">
        <f t="shared" si="41"/>
        <v>0</v>
      </c>
      <c r="AI96" s="1">
        <f t="shared" si="44"/>
        <v>1.9442714249357929</v>
      </c>
      <c r="AJ96" s="1">
        <f t="shared" si="45"/>
        <v>2.4303392811697409</v>
      </c>
      <c r="AK96" s="1">
        <f t="shared" si="46"/>
        <v>1.6202261874464938</v>
      </c>
      <c r="AL96" s="1">
        <f t="shared" si="47"/>
        <v>1.4582035687018446</v>
      </c>
      <c r="AM96" s="1">
        <f t="shared" si="48"/>
        <v>0.97213571246789643</v>
      </c>
      <c r="AN96" s="1">
        <f t="shared" si="49"/>
        <v>1.9442714249357929</v>
      </c>
      <c r="AO96" s="1">
        <f t="shared" si="50"/>
        <v>0.32404523748929881</v>
      </c>
    </row>
    <row r="97" spans="1:41" x14ac:dyDescent="0.2">
      <c r="A97">
        <v>95</v>
      </c>
      <c r="B97" t="s">
        <v>36</v>
      </c>
      <c r="C97">
        <v>1</v>
      </c>
      <c r="D97">
        <v>2</v>
      </c>
      <c r="E97">
        <v>3</v>
      </c>
      <c r="F97">
        <v>3</v>
      </c>
      <c r="G97">
        <v>3</v>
      </c>
      <c r="H97">
        <v>2</v>
      </c>
      <c r="I97">
        <v>1</v>
      </c>
      <c r="J97">
        <v>1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0</v>
      </c>
      <c r="R97">
        <v>108.898</v>
      </c>
      <c r="S97">
        <v>25886.612000000001</v>
      </c>
      <c r="T97" s="1">
        <f t="shared" si="29"/>
        <v>0.42067304906489883</v>
      </c>
      <c r="U97" s="1">
        <f t="shared" si="30"/>
        <v>0.84134609812979766</v>
      </c>
      <c r="V97" s="1">
        <f t="shared" si="31"/>
        <v>1.2620191471946964</v>
      </c>
      <c r="W97" s="1">
        <f t="shared" si="32"/>
        <v>1.2620191471946964</v>
      </c>
      <c r="X97" s="1">
        <f t="shared" si="33"/>
        <v>1.2620191471946964</v>
      </c>
      <c r="Y97" s="1">
        <f t="shared" si="42"/>
        <v>0.84134609812979766</v>
      </c>
      <c r="Z97" s="1">
        <f t="shared" si="43"/>
        <v>0.42067304906489883</v>
      </c>
      <c r="AA97" s="1">
        <f t="shared" si="34"/>
        <v>0.42067304906489883</v>
      </c>
      <c r="AB97" s="1">
        <f t="shared" si="35"/>
        <v>0</v>
      </c>
      <c r="AC97" s="1">
        <f t="shared" si="36"/>
        <v>0.42067304906489883</v>
      </c>
      <c r="AD97" s="1">
        <f t="shared" si="37"/>
        <v>0.42067304906489883</v>
      </c>
      <c r="AE97" s="1">
        <f t="shared" si="38"/>
        <v>0.42067304906489883</v>
      </c>
      <c r="AF97" s="1">
        <f t="shared" si="39"/>
        <v>0.42067304906489883</v>
      </c>
      <c r="AG97" s="1">
        <f t="shared" si="40"/>
        <v>0.42067304906489883</v>
      </c>
      <c r="AH97" s="1">
        <f t="shared" si="41"/>
        <v>0</v>
      </c>
      <c r="AI97" s="1">
        <f t="shared" si="44"/>
        <v>0.63100957359734822</v>
      </c>
      <c r="AJ97" s="1">
        <f t="shared" si="45"/>
        <v>1.2620191471946964</v>
      </c>
      <c r="AK97" s="1">
        <f t="shared" si="46"/>
        <v>0.84134609812979766</v>
      </c>
      <c r="AL97" s="1">
        <f t="shared" si="47"/>
        <v>0.21033652453244941</v>
      </c>
      <c r="AM97" s="1">
        <f t="shared" si="48"/>
        <v>0.42067304906489883</v>
      </c>
      <c r="AN97" s="1">
        <f t="shared" si="49"/>
        <v>0.42067304906489883</v>
      </c>
      <c r="AO97" s="1">
        <f t="shared" si="50"/>
        <v>0.28044869937659922</v>
      </c>
    </row>
    <row r="98" spans="1:41" x14ac:dyDescent="0.2">
      <c r="A98">
        <v>96</v>
      </c>
      <c r="B98" t="s">
        <v>52</v>
      </c>
      <c r="C98">
        <v>2</v>
      </c>
      <c r="D98">
        <v>1</v>
      </c>
      <c r="E98">
        <v>1</v>
      </c>
      <c r="F98">
        <v>3</v>
      </c>
      <c r="G98">
        <v>2</v>
      </c>
      <c r="H98">
        <v>2</v>
      </c>
      <c r="I98">
        <v>1</v>
      </c>
      <c r="J98">
        <v>1</v>
      </c>
      <c r="K98">
        <v>0</v>
      </c>
      <c r="L98">
        <v>1</v>
      </c>
      <c r="M98">
        <v>1</v>
      </c>
      <c r="N98">
        <v>1</v>
      </c>
      <c r="O98">
        <v>2</v>
      </c>
      <c r="P98">
        <v>1</v>
      </c>
      <c r="Q98">
        <v>0</v>
      </c>
      <c r="R98">
        <v>231.05500000000001</v>
      </c>
      <c r="S98">
        <v>25886.612000000001</v>
      </c>
      <c r="T98" s="1">
        <f t="shared" si="29"/>
        <v>1.78513124853882</v>
      </c>
      <c r="U98" s="1">
        <f t="shared" si="30"/>
        <v>0.89256562426941</v>
      </c>
      <c r="V98" s="1">
        <f t="shared" si="31"/>
        <v>0.89256562426941</v>
      </c>
      <c r="W98" s="1">
        <f t="shared" si="32"/>
        <v>2.6776968728082302</v>
      </c>
      <c r="X98" s="1">
        <f t="shared" si="33"/>
        <v>1.78513124853882</v>
      </c>
      <c r="Y98" s="1">
        <f t="shared" si="42"/>
        <v>1.78513124853882</v>
      </c>
      <c r="Z98" s="1">
        <f t="shared" si="43"/>
        <v>0.89256562426941</v>
      </c>
      <c r="AA98" s="1">
        <f t="shared" si="34"/>
        <v>0.89256562426941</v>
      </c>
      <c r="AB98" s="1">
        <f t="shared" si="35"/>
        <v>0</v>
      </c>
      <c r="AC98" s="1">
        <f t="shared" si="36"/>
        <v>0.89256562426941</v>
      </c>
      <c r="AD98" s="1">
        <f t="shared" si="37"/>
        <v>0.89256562426941</v>
      </c>
      <c r="AE98" s="1">
        <f t="shared" si="38"/>
        <v>0.89256562426941</v>
      </c>
      <c r="AF98" s="1">
        <f t="shared" si="39"/>
        <v>1.78513124853882</v>
      </c>
      <c r="AG98" s="1">
        <f t="shared" si="40"/>
        <v>0.89256562426941</v>
      </c>
      <c r="AH98" s="1">
        <f t="shared" si="41"/>
        <v>0</v>
      </c>
      <c r="AI98" s="1">
        <f t="shared" si="44"/>
        <v>1.3388484364041151</v>
      </c>
      <c r="AJ98" s="1">
        <f t="shared" si="45"/>
        <v>1.78513124853882</v>
      </c>
      <c r="AK98" s="1">
        <f t="shared" si="46"/>
        <v>1.4876093737823499</v>
      </c>
      <c r="AL98" s="1">
        <f t="shared" si="47"/>
        <v>0.446282812134705</v>
      </c>
      <c r="AM98" s="1">
        <f t="shared" si="48"/>
        <v>0.89256562426941</v>
      </c>
      <c r="AN98" s="1">
        <f t="shared" si="49"/>
        <v>0.89256562426941</v>
      </c>
      <c r="AO98" s="1">
        <f t="shared" si="50"/>
        <v>0.89256562426941011</v>
      </c>
    </row>
    <row r="99" spans="1:41" x14ac:dyDescent="0.2">
      <c r="A99">
        <v>97</v>
      </c>
      <c r="B99" t="s">
        <v>25</v>
      </c>
      <c r="C99">
        <v>1</v>
      </c>
      <c r="D99">
        <v>0</v>
      </c>
      <c r="E99">
        <v>2</v>
      </c>
      <c r="F99">
        <v>2</v>
      </c>
      <c r="G99">
        <v>1</v>
      </c>
      <c r="H99">
        <v>0</v>
      </c>
      <c r="I99">
        <v>0</v>
      </c>
      <c r="J99">
        <v>1</v>
      </c>
      <c r="K99">
        <v>0</v>
      </c>
      <c r="L99">
        <v>1</v>
      </c>
      <c r="M99">
        <v>1</v>
      </c>
      <c r="N99">
        <v>1</v>
      </c>
      <c r="O99">
        <v>0</v>
      </c>
      <c r="P99">
        <v>1</v>
      </c>
      <c r="Q99">
        <v>0</v>
      </c>
      <c r="R99">
        <v>108.31699999999999</v>
      </c>
      <c r="S99">
        <v>25886.612000000001</v>
      </c>
      <c r="T99" s="1">
        <f t="shared" si="29"/>
        <v>0.41842864566440746</v>
      </c>
      <c r="U99" s="1">
        <f t="shared" si="30"/>
        <v>0</v>
      </c>
      <c r="V99" s="1">
        <f t="shared" si="31"/>
        <v>0.83685729132881492</v>
      </c>
      <c r="W99" s="1">
        <f t="shared" si="32"/>
        <v>0.83685729132881492</v>
      </c>
      <c r="X99" s="1">
        <f t="shared" si="33"/>
        <v>0.41842864566440746</v>
      </c>
      <c r="Y99" s="1">
        <f t="shared" si="42"/>
        <v>0</v>
      </c>
      <c r="Z99" s="1">
        <f t="shared" si="43"/>
        <v>0</v>
      </c>
      <c r="AA99" s="1">
        <f t="shared" si="34"/>
        <v>0.41842864566440746</v>
      </c>
      <c r="AB99" s="1">
        <f t="shared" si="35"/>
        <v>0</v>
      </c>
      <c r="AC99" s="1">
        <f t="shared" si="36"/>
        <v>0.41842864566440746</v>
      </c>
      <c r="AD99" s="1">
        <f t="shared" si="37"/>
        <v>0.41842864566440746</v>
      </c>
      <c r="AE99" s="1">
        <f t="shared" si="38"/>
        <v>0.41842864566440746</v>
      </c>
      <c r="AF99" s="1">
        <f t="shared" si="39"/>
        <v>0</v>
      </c>
      <c r="AG99" s="1">
        <f t="shared" si="40"/>
        <v>0.41842864566440746</v>
      </c>
      <c r="AH99" s="1">
        <f t="shared" si="41"/>
        <v>0</v>
      </c>
      <c r="AI99" s="1">
        <f t="shared" si="44"/>
        <v>0.20921432283220373</v>
      </c>
      <c r="AJ99" s="1">
        <f t="shared" si="45"/>
        <v>0.83685729132881492</v>
      </c>
      <c r="AK99" s="1">
        <f t="shared" si="46"/>
        <v>0.13947621522146916</v>
      </c>
      <c r="AL99" s="1">
        <f t="shared" si="47"/>
        <v>0.20921432283220373</v>
      </c>
      <c r="AM99" s="1">
        <f t="shared" si="48"/>
        <v>0.41842864566440746</v>
      </c>
      <c r="AN99" s="1">
        <f t="shared" si="49"/>
        <v>0.41842864566440746</v>
      </c>
      <c r="AO99" s="1">
        <f t="shared" si="50"/>
        <v>0.13947621522146916</v>
      </c>
    </row>
    <row r="100" spans="1:41" x14ac:dyDescent="0.2">
      <c r="A100">
        <v>98</v>
      </c>
      <c r="B100" t="s">
        <v>38</v>
      </c>
      <c r="C100">
        <v>3</v>
      </c>
      <c r="D100">
        <v>3</v>
      </c>
      <c r="E100">
        <v>0</v>
      </c>
      <c r="F100">
        <v>3</v>
      </c>
      <c r="G100">
        <v>2</v>
      </c>
      <c r="H100">
        <v>3</v>
      </c>
      <c r="I100">
        <v>2</v>
      </c>
      <c r="J100">
        <v>3</v>
      </c>
      <c r="K100">
        <v>3</v>
      </c>
      <c r="L100">
        <v>3</v>
      </c>
      <c r="M100">
        <v>3</v>
      </c>
      <c r="N100">
        <v>2</v>
      </c>
      <c r="O100">
        <v>1</v>
      </c>
      <c r="P100">
        <v>3</v>
      </c>
      <c r="Q100">
        <v>3</v>
      </c>
      <c r="R100">
        <v>466.13299999999998</v>
      </c>
      <c r="S100">
        <v>25886.612000000001</v>
      </c>
      <c r="T100" s="1">
        <f t="shared" si="29"/>
        <v>5.402016300935788</v>
      </c>
      <c r="U100" s="1">
        <f t="shared" si="30"/>
        <v>5.402016300935788</v>
      </c>
      <c r="V100" s="1">
        <f t="shared" si="31"/>
        <v>0</v>
      </c>
      <c r="W100" s="1">
        <f t="shared" si="32"/>
        <v>5.402016300935788</v>
      </c>
      <c r="X100" s="1">
        <f t="shared" si="33"/>
        <v>3.6013442006238585</v>
      </c>
      <c r="Y100" s="1">
        <f t="shared" si="42"/>
        <v>5.402016300935788</v>
      </c>
      <c r="Z100" s="1">
        <f t="shared" si="43"/>
        <v>3.6013442006238585</v>
      </c>
      <c r="AA100" s="1">
        <f t="shared" si="34"/>
        <v>5.402016300935788</v>
      </c>
      <c r="AB100" s="1">
        <f t="shared" si="35"/>
        <v>5.402016300935788</v>
      </c>
      <c r="AC100" s="1">
        <f t="shared" si="36"/>
        <v>5.402016300935788</v>
      </c>
      <c r="AD100" s="1">
        <f t="shared" si="37"/>
        <v>5.402016300935788</v>
      </c>
      <c r="AE100" s="1">
        <f t="shared" si="38"/>
        <v>3.6013442006238585</v>
      </c>
      <c r="AF100" s="1">
        <f t="shared" si="39"/>
        <v>1.8006721003119293</v>
      </c>
      <c r="AG100" s="1">
        <f t="shared" si="40"/>
        <v>5.402016300935788</v>
      </c>
      <c r="AH100" s="1">
        <f t="shared" si="41"/>
        <v>5.402016300935788</v>
      </c>
      <c r="AI100" s="1">
        <f t="shared" si="44"/>
        <v>5.402016300935788</v>
      </c>
      <c r="AJ100" s="1">
        <f t="shared" si="45"/>
        <v>2.701008150467894</v>
      </c>
      <c r="AK100" s="1">
        <f t="shared" si="46"/>
        <v>4.2015682340611678</v>
      </c>
      <c r="AL100" s="1">
        <f t="shared" si="47"/>
        <v>5.402016300935788</v>
      </c>
      <c r="AM100" s="1">
        <f t="shared" si="48"/>
        <v>5.402016300935788</v>
      </c>
      <c r="AN100" s="1">
        <f t="shared" si="49"/>
        <v>4.501680250779823</v>
      </c>
      <c r="AO100" s="1">
        <f t="shared" si="50"/>
        <v>4.2015682340611678</v>
      </c>
    </row>
    <row r="101" spans="1:41" x14ac:dyDescent="0.2">
      <c r="A101">
        <v>99</v>
      </c>
      <c r="B101" t="s">
        <v>46</v>
      </c>
      <c r="C101">
        <v>2</v>
      </c>
      <c r="D101">
        <v>3</v>
      </c>
      <c r="E101">
        <v>2</v>
      </c>
      <c r="F101">
        <v>3</v>
      </c>
      <c r="G101">
        <v>3</v>
      </c>
      <c r="H101">
        <v>2</v>
      </c>
      <c r="I101">
        <v>3</v>
      </c>
      <c r="J101">
        <v>2</v>
      </c>
      <c r="K101">
        <v>3</v>
      </c>
      <c r="L101">
        <v>3</v>
      </c>
      <c r="M101">
        <v>2</v>
      </c>
      <c r="N101">
        <v>3</v>
      </c>
      <c r="O101">
        <v>1</v>
      </c>
      <c r="P101">
        <v>2</v>
      </c>
      <c r="Q101">
        <v>3</v>
      </c>
      <c r="R101">
        <v>218.74199999999999</v>
      </c>
      <c r="S101">
        <v>25886.612000000001</v>
      </c>
      <c r="T101" s="1">
        <f t="shared" si="29"/>
        <v>1.6900009935637772</v>
      </c>
      <c r="U101" s="1">
        <f t="shared" si="30"/>
        <v>2.5350014903456657</v>
      </c>
      <c r="V101" s="1">
        <f t="shared" si="31"/>
        <v>1.6900009935637772</v>
      </c>
      <c r="W101" s="1">
        <f t="shared" si="32"/>
        <v>2.5350014903456657</v>
      </c>
      <c r="X101" s="1">
        <f t="shared" si="33"/>
        <v>2.5350014903456657</v>
      </c>
      <c r="Y101" s="1">
        <f t="shared" si="42"/>
        <v>1.6900009935637772</v>
      </c>
      <c r="Z101" s="1">
        <f t="shared" si="43"/>
        <v>2.5350014903456657</v>
      </c>
      <c r="AA101" s="1">
        <f t="shared" si="34"/>
        <v>1.6900009935637772</v>
      </c>
      <c r="AB101" s="1">
        <f t="shared" si="35"/>
        <v>2.5350014903456657</v>
      </c>
      <c r="AC101" s="1">
        <f t="shared" si="36"/>
        <v>2.5350014903456657</v>
      </c>
      <c r="AD101" s="1">
        <f t="shared" si="37"/>
        <v>1.6900009935637772</v>
      </c>
      <c r="AE101" s="1">
        <f t="shared" si="38"/>
        <v>2.5350014903456657</v>
      </c>
      <c r="AF101" s="1">
        <f t="shared" si="39"/>
        <v>0.8450004967818886</v>
      </c>
      <c r="AG101" s="1">
        <f t="shared" si="40"/>
        <v>1.6900009935637772</v>
      </c>
      <c r="AH101" s="1">
        <f t="shared" si="41"/>
        <v>2.5350014903456657</v>
      </c>
      <c r="AI101" s="1">
        <f t="shared" si="44"/>
        <v>2.1125012419547216</v>
      </c>
      <c r="AJ101" s="1">
        <f t="shared" si="45"/>
        <v>2.1125012419547216</v>
      </c>
      <c r="AK101" s="1">
        <f t="shared" si="46"/>
        <v>2.2533346580850364</v>
      </c>
      <c r="AL101" s="1">
        <f t="shared" si="47"/>
        <v>2.1125012419547216</v>
      </c>
      <c r="AM101" s="1">
        <f t="shared" si="48"/>
        <v>2.5350014903456657</v>
      </c>
      <c r="AN101" s="1">
        <f t="shared" si="49"/>
        <v>2.1125012419547216</v>
      </c>
      <c r="AO101" s="1">
        <f t="shared" si="50"/>
        <v>1.6900009935637772</v>
      </c>
    </row>
    <row r="102" spans="1:41" x14ac:dyDescent="0.2">
      <c r="A102">
        <v>100</v>
      </c>
      <c r="B102" t="s">
        <v>53</v>
      </c>
      <c r="C102">
        <v>2</v>
      </c>
      <c r="D102">
        <v>2</v>
      </c>
      <c r="E102">
        <v>2</v>
      </c>
      <c r="F102">
        <v>3</v>
      </c>
      <c r="G102">
        <v>3</v>
      </c>
      <c r="H102">
        <v>3</v>
      </c>
      <c r="I102">
        <v>3</v>
      </c>
      <c r="J102">
        <v>1</v>
      </c>
      <c r="K102">
        <v>1</v>
      </c>
      <c r="L102">
        <v>2</v>
      </c>
      <c r="M102">
        <v>1</v>
      </c>
      <c r="N102">
        <v>2</v>
      </c>
      <c r="O102">
        <v>0</v>
      </c>
      <c r="P102">
        <v>2</v>
      </c>
      <c r="Q102">
        <v>0</v>
      </c>
      <c r="R102">
        <v>108.28</v>
      </c>
      <c r="S102">
        <v>25886.612000000001</v>
      </c>
      <c r="T102" s="1">
        <f t="shared" si="29"/>
        <v>0.83657142927780581</v>
      </c>
      <c r="U102" s="1">
        <f t="shared" si="30"/>
        <v>0.83657142927780581</v>
      </c>
      <c r="V102" s="1">
        <f t="shared" si="31"/>
        <v>0.83657142927780581</v>
      </c>
      <c r="W102" s="1">
        <f t="shared" si="32"/>
        <v>1.2548571439167087</v>
      </c>
      <c r="X102" s="1">
        <f t="shared" si="33"/>
        <v>1.2548571439167087</v>
      </c>
      <c r="Y102" s="1">
        <f t="shared" si="42"/>
        <v>1.2548571439167087</v>
      </c>
      <c r="Z102" s="1">
        <f t="shared" si="43"/>
        <v>1.2548571439167087</v>
      </c>
      <c r="AA102" s="1">
        <f t="shared" si="34"/>
        <v>0.41828571463890291</v>
      </c>
      <c r="AB102" s="1">
        <f t="shared" si="35"/>
        <v>0.41828571463890291</v>
      </c>
      <c r="AC102" s="1">
        <f t="shared" si="36"/>
        <v>0.83657142927780581</v>
      </c>
      <c r="AD102" s="1">
        <f t="shared" si="37"/>
        <v>0.41828571463890291</v>
      </c>
      <c r="AE102" s="1">
        <f t="shared" si="38"/>
        <v>0.83657142927780581</v>
      </c>
      <c r="AF102" s="1">
        <f t="shared" si="39"/>
        <v>0</v>
      </c>
      <c r="AG102" s="1">
        <f t="shared" si="40"/>
        <v>0.83657142927780581</v>
      </c>
      <c r="AH102" s="1">
        <f t="shared" si="41"/>
        <v>0</v>
      </c>
      <c r="AI102" s="1">
        <f t="shared" si="44"/>
        <v>0.83657142927780581</v>
      </c>
      <c r="AJ102" s="1">
        <f t="shared" si="45"/>
        <v>1.0457142865972573</v>
      </c>
      <c r="AK102" s="1">
        <f t="shared" si="46"/>
        <v>1.2548571439167087</v>
      </c>
      <c r="AL102" s="1">
        <f t="shared" si="47"/>
        <v>0.41828571463890291</v>
      </c>
      <c r="AM102" s="1">
        <f t="shared" si="48"/>
        <v>0.83657142927780581</v>
      </c>
      <c r="AN102" s="1">
        <f t="shared" si="49"/>
        <v>0.62742857195835433</v>
      </c>
      <c r="AO102" s="1">
        <f t="shared" si="50"/>
        <v>0.27885714309260196</v>
      </c>
    </row>
    <row r="103" spans="1:41" x14ac:dyDescent="0.2">
      <c r="A103">
        <v>101</v>
      </c>
      <c r="B103" t="s">
        <v>47</v>
      </c>
      <c r="C103">
        <v>2</v>
      </c>
      <c r="D103">
        <v>2</v>
      </c>
      <c r="E103">
        <v>2</v>
      </c>
      <c r="F103">
        <v>2</v>
      </c>
      <c r="G103">
        <v>2</v>
      </c>
      <c r="H103">
        <v>3</v>
      </c>
      <c r="I103">
        <v>2</v>
      </c>
      <c r="J103">
        <v>2</v>
      </c>
      <c r="K103">
        <v>2</v>
      </c>
      <c r="L103">
        <v>2</v>
      </c>
      <c r="M103">
        <v>1</v>
      </c>
      <c r="N103">
        <v>2</v>
      </c>
      <c r="O103">
        <v>1</v>
      </c>
      <c r="P103">
        <v>1</v>
      </c>
      <c r="Q103">
        <v>2</v>
      </c>
      <c r="R103">
        <v>86.570999999999998</v>
      </c>
      <c r="S103">
        <v>25886.612000000001</v>
      </c>
      <c r="T103" s="1">
        <f t="shared" si="29"/>
        <v>0.66884766534917739</v>
      </c>
      <c r="U103" s="1">
        <f t="shared" si="30"/>
        <v>0.66884766534917739</v>
      </c>
      <c r="V103" s="1">
        <f t="shared" si="31"/>
        <v>0.66884766534917739</v>
      </c>
      <c r="W103" s="1">
        <f t="shared" si="32"/>
        <v>0.66884766534917739</v>
      </c>
      <c r="X103" s="1">
        <f t="shared" si="33"/>
        <v>0.66884766534917739</v>
      </c>
      <c r="Y103" s="1">
        <f t="shared" si="42"/>
        <v>1.003271498023766</v>
      </c>
      <c r="Z103" s="1">
        <f t="shared" si="43"/>
        <v>0.66884766534917739</v>
      </c>
      <c r="AA103" s="1">
        <f t="shared" si="34"/>
        <v>0.66884766534917739</v>
      </c>
      <c r="AB103" s="1">
        <f t="shared" si="35"/>
        <v>0.66884766534917739</v>
      </c>
      <c r="AC103" s="1">
        <f t="shared" si="36"/>
        <v>0.66884766534917739</v>
      </c>
      <c r="AD103" s="1">
        <f t="shared" si="37"/>
        <v>0.33442383267458869</v>
      </c>
      <c r="AE103" s="1">
        <f t="shared" si="38"/>
        <v>0.66884766534917739</v>
      </c>
      <c r="AF103" s="1">
        <f t="shared" si="39"/>
        <v>0.33442383267458869</v>
      </c>
      <c r="AG103" s="1">
        <f t="shared" si="40"/>
        <v>0.33442383267458869</v>
      </c>
      <c r="AH103" s="1">
        <f t="shared" si="41"/>
        <v>0.66884766534917739</v>
      </c>
      <c r="AI103" s="1">
        <f t="shared" si="44"/>
        <v>0.66884766534917739</v>
      </c>
      <c r="AJ103" s="1">
        <f t="shared" si="45"/>
        <v>0.66884766534917739</v>
      </c>
      <c r="AK103" s="1">
        <f t="shared" si="46"/>
        <v>0.78032227624070705</v>
      </c>
      <c r="AL103" s="1">
        <f t="shared" si="47"/>
        <v>0.66884766534917739</v>
      </c>
      <c r="AM103" s="1">
        <f t="shared" si="48"/>
        <v>0.66884766534917739</v>
      </c>
      <c r="AN103" s="1">
        <f t="shared" si="49"/>
        <v>0.50163574901188301</v>
      </c>
      <c r="AO103" s="1">
        <f t="shared" si="50"/>
        <v>0.44589844356611824</v>
      </c>
    </row>
    <row r="104" spans="1:41" x14ac:dyDescent="0.2">
      <c r="A104">
        <v>102</v>
      </c>
      <c r="B104" t="s">
        <v>46</v>
      </c>
      <c r="C104">
        <v>2</v>
      </c>
      <c r="D104">
        <v>2</v>
      </c>
      <c r="E104">
        <v>3</v>
      </c>
      <c r="F104">
        <v>3</v>
      </c>
      <c r="G104">
        <v>3</v>
      </c>
      <c r="H104">
        <v>3</v>
      </c>
      <c r="I104">
        <v>2</v>
      </c>
      <c r="J104">
        <v>2</v>
      </c>
      <c r="K104">
        <v>3</v>
      </c>
      <c r="L104">
        <v>3</v>
      </c>
      <c r="M104">
        <v>2</v>
      </c>
      <c r="N104">
        <v>3</v>
      </c>
      <c r="O104">
        <v>0</v>
      </c>
      <c r="P104">
        <v>1</v>
      </c>
      <c r="Q104">
        <v>3</v>
      </c>
      <c r="R104">
        <v>107.354</v>
      </c>
      <c r="S104">
        <v>25886.612000000001</v>
      </c>
      <c r="T104" s="1">
        <f t="shared" si="29"/>
        <v>0.82941715200119659</v>
      </c>
      <c r="U104" s="1">
        <f t="shared" si="30"/>
        <v>0.82941715200119659</v>
      </c>
      <c r="V104" s="1">
        <f t="shared" si="31"/>
        <v>1.2441257280017948</v>
      </c>
      <c r="W104" s="1">
        <f t="shared" si="32"/>
        <v>1.2441257280017948</v>
      </c>
      <c r="X104" s="1">
        <f t="shared" si="33"/>
        <v>1.2441257280017948</v>
      </c>
      <c r="Y104" s="1">
        <f t="shared" si="42"/>
        <v>1.2441257280017948</v>
      </c>
      <c r="Z104" s="1">
        <f t="shared" si="43"/>
        <v>0.82941715200119659</v>
      </c>
      <c r="AA104" s="1">
        <f t="shared" si="34"/>
        <v>0.82941715200119659</v>
      </c>
      <c r="AB104" s="1">
        <f t="shared" si="35"/>
        <v>1.2441257280017948</v>
      </c>
      <c r="AC104" s="1">
        <f t="shared" si="36"/>
        <v>1.2441257280017948</v>
      </c>
      <c r="AD104" s="1">
        <f t="shared" si="37"/>
        <v>0.82941715200119659</v>
      </c>
      <c r="AE104" s="1">
        <f t="shared" si="38"/>
        <v>1.2441257280017948</v>
      </c>
      <c r="AF104" s="1">
        <f t="shared" si="39"/>
        <v>0</v>
      </c>
      <c r="AG104" s="1">
        <f t="shared" si="40"/>
        <v>0.41470857600059829</v>
      </c>
      <c r="AH104" s="1">
        <f t="shared" si="41"/>
        <v>1.2441257280017948</v>
      </c>
      <c r="AI104" s="1">
        <f t="shared" si="44"/>
        <v>0.82941715200119659</v>
      </c>
      <c r="AJ104" s="1">
        <f t="shared" si="45"/>
        <v>1.2441257280017948</v>
      </c>
      <c r="AK104" s="1">
        <f t="shared" si="46"/>
        <v>1.1058895360015955</v>
      </c>
      <c r="AL104" s="1">
        <f t="shared" si="47"/>
        <v>1.0367714400014956</v>
      </c>
      <c r="AM104" s="1">
        <f t="shared" si="48"/>
        <v>1.2441257280017948</v>
      </c>
      <c r="AN104" s="1">
        <f t="shared" si="49"/>
        <v>1.0367714400014956</v>
      </c>
      <c r="AO104" s="1">
        <f t="shared" si="50"/>
        <v>0.55294476800079773</v>
      </c>
    </row>
    <row r="105" spans="1:41" x14ac:dyDescent="0.2">
      <c r="A105">
        <v>103</v>
      </c>
      <c r="B105" t="s">
        <v>54</v>
      </c>
      <c r="C105">
        <v>2</v>
      </c>
      <c r="D105">
        <v>2</v>
      </c>
      <c r="E105">
        <v>2</v>
      </c>
      <c r="F105">
        <v>3</v>
      </c>
      <c r="G105">
        <v>3</v>
      </c>
      <c r="H105">
        <v>3</v>
      </c>
      <c r="I105">
        <v>3</v>
      </c>
      <c r="J105">
        <v>1</v>
      </c>
      <c r="K105">
        <v>1</v>
      </c>
      <c r="L105">
        <v>2</v>
      </c>
      <c r="M105">
        <v>2</v>
      </c>
      <c r="N105">
        <v>2</v>
      </c>
      <c r="O105">
        <v>0</v>
      </c>
      <c r="P105">
        <v>3</v>
      </c>
      <c r="Q105">
        <v>0</v>
      </c>
      <c r="R105">
        <v>114.98399999999999</v>
      </c>
      <c r="S105">
        <v>25886.612000000001</v>
      </c>
      <c r="T105" s="1">
        <f t="shared" si="29"/>
        <v>0.88836654252012581</v>
      </c>
      <c r="U105" s="1">
        <f t="shared" si="30"/>
        <v>0.88836654252012581</v>
      </c>
      <c r="V105" s="1">
        <f t="shared" si="31"/>
        <v>0.88836654252012581</v>
      </c>
      <c r="W105" s="1">
        <f t="shared" si="32"/>
        <v>1.3325498137801888</v>
      </c>
      <c r="X105" s="1">
        <f t="shared" si="33"/>
        <v>1.3325498137801888</v>
      </c>
      <c r="Y105" s="1">
        <f t="shared" si="42"/>
        <v>1.3325498137801888</v>
      </c>
      <c r="Z105" s="1">
        <f t="shared" si="43"/>
        <v>1.3325498137801888</v>
      </c>
      <c r="AA105" s="1">
        <f t="shared" si="34"/>
        <v>0.44418327126006291</v>
      </c>
      <c r="AB105" s="1">
        <f t="shared" si="35"/>
        <v>0.44418327126006291</v>
      </c>
      <c r="AC105" s="1">
        <f t="shared" si="36"/>
        <v>0.88836654252012581</v>
      </c>
      <c r="AD105" s="1">
        <f t="shared" si="37"/>
        <v>0.88836654252012581</v>
      </c>
      <c r="AE105" s="1">
        <f t="shared" si="38"/>
        <v>0.88836654252012581</v>
      </c>
      <c r="AF105" s="1">
        <f t="shared" si="39"/>
        <v>0</v>
      </c>
      <c r="AG105" s="1">
        <f t="shared" si="40"/>
        <v>1.3325498137801888</v>
      </c>
      <c r="AH105" s="1">
        <f t="shared" si="41"/>
        <v>0</v>
      </c>
      <c r="AI105" s="1">
        <f t="shared" si="44"/>
        <v>0.88836654252012581</v>
      </c>
      <c r="AJ105" s="1">
        <f t="shared" si="45"/>
        <v>1.1104581781501572</v>
      </c>
      <c r="AK105" s="1">
        <f t="shared" si="46"/>
        <v>1.3325498137801888</v>
      </c>
      <c r="AL105" s="1">
        <f t="shared" si="47"/>
        <v>0.44418327126006291</v>
      </c>
      <c r="AM105" s="1">
        <f t="shared" si="48"/>
        <v>0.88836654252012581</v>
      </c>
      <c r="AN105" s="1">
        <f t="shared" si="49"/>
        <v>0.88836654252012581</v>
      </c>
      <c r="AO105" s="1">
        <f t="shared" si="50"/>
        <v>0.44418327126006291</v>
      </c>
    </row>
    <row r="106" spans="1:41" x14ac:dyDescent="0.2">
      <c r="A106">
        <v>104</v>
      </c>
      <c r="B106" t="s">
        <v>53</v>
      </c>
      <c r="C106">
        <v>2</v>
      </c>
      <c r="D106">
        <v>1</v>
      </c>
      <c r="E106">
        <v>2</v>
      </c>
      <c r="F106">
        <v>3</v>
      </c>
      <c r="G106">
        <v>3</v>
      </c>
      <c r="H106">
        <v>3</v>
      </c>
      <c r="I106">
        <v>3</v>
      </c>
      <c r="J106">
        <v>1</v>
      </c>
      <c r="K106">
        <v>1</v>
      </c>
      <c r="L106">
        <v>1</v>
      </c>
      <c r="M106">
        <v>1</v>
      </c>
      <c r="N106">
        <v>2</v>
      </c>
      <c r="O106">
        <v>2</v>
      </c>
      <c r="P106">
        <v>2</v>
      </c>
      <c r="Q106">
        <v>0</v>
      </c>
      <c r="R106">
        <v>204.19800000000001</v>
      </c>
      <c r="S106">
        <v>25886.612000000001</v>
      </c>
      <c r="T106" s="1">
        <f t="shared" si="29"/>
        <v>1.577634029513016</v>
      </c>
      <c r="U106" s="1">
        <f t="shared" si="30"/>
        <v>0.78881701475650801</v>
      </c>
      <c r="V106" s="1">
        <f t="shared" si="31"/>
        <v>1.577634029513016</v>
      </c>
      <c r="W106" s="1">
        <f t="shared" si="32"/>
        <v>2.3664510442695241</v>
      </c>
      <c r="X106" s="1">
        <f t="shared" si="33"/>
        <v>2.3664510442695241</v>
      </c>
      <c r="Y106" s="1">
        <f t="shared" si="42"/>
        <v>2.3664510442695241</v>
      </c>
      <c r="Z106" s="1">
        <f t="shared" si="43"/>
        <v>2.3664510442695241</v>
      </c>
      <c r="AA106" s="1">
        <f t="shared" si="34"/>
        <v>0.78881701475650801</v>
      </c>
      <c r="AB106" s="1">
        <f t="shared" si="35"/>
        <v>0.78881701475650801</v>
      </c>
      <c r="AC106" s="1">
        <f t="shared" si="36"/>
        <v>0.78881701475650801</v>
      </c>
      <c r="AD106" s="1">
        <f t="shared" si="37"/>
        <v>0.78881701475650801</v>
      </c>
      <c r="AE106" s="1">
        <f t="shared" si="38"/>
        <v>1.577634029513016</v>
      </c>
      <c r="AF106" s="1">
        <f t="shared" si="39"/>
        <v>1.577634029513016</v>
      </c>
      <c r="AG106" s="1">
        <f t="shared" si="40"/>
        <v>1.577634029513016</v>
      </c>
      <c r="AH106" s="1">
        <f t="shared" si="41"/>
        <v>0</v>
      </c>
      <c r="AI106" s="1">
        <f t="shared" si="44"/>
        <v>1.1832255221347621</v>
      </c>
      <c r="AJ106" s="1">
        <f t="shared" si="45"/>
        <v>1.9720425368912702</v>
      </c>
      <c r="AK106" s="1">
        <f t="shared" si="46"/>
        <v>2.3664510442695241</v>
      </c>
      <c r="AL106" s="1">
        <f t="shared" si="47"/>
        <v>0.78881701475650801</v>
      </c>
      <c r="AM106" s="1">
        <f t="shared" si="48"/>
        <v>0.78881701475650801</v>
      </c>
      <c r="AN106" s="1">
        <f t="shared" si="49"/>
        <v>1.1832255221347621</v>
      </c>
      <c r="AO106" s="1">
        <f t="shared" si="50"/>
        <v>1.0517560196753439</v>
      </c>
    </row>
    <row r="107" spans="1:41" x14ac:dyDescent="0.2">
      <c r="A107">
        <v>105</v>
      </c>
      <c r="B107" t="s">
        <v>55</v>
      </c>
      <c r="C107">
        <v>1</v>
      </c>
      <c r="D107">
        <v>2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1</v>
      </c>
      <c r="K107">
        <v>1</v>
      </c>
      <c r="L107">
        <v>2</v>
      </c>
      <c r="M107">
        <v>2</v>
      </c>
      <c r="N107">
        <v>2</v>
      </c>
      <c r="O107">
        <v>1</v>
      </c>
      <c r="P107">
        <v>1</v>
      </c>
      <c r="Q107">
        <v>0</v>
      </c>
      <c r="R107">
        <v>142.411</v>
      </c>
      <c r="S107">
        <v>25886.612000000001</v>
      </c>
      <c r="T107" s="1">
        <f t="shared" si="29"/>
        <v>0.55013379116587369</v>
      </c>
      <c r="U107" s="1">
        <f t="shared" si="30"/>
        <v>1.1002675823317474</v>
      </c>
      <c r="V107" s="1">
        <f t="shared" si="31"/>
        <v>1.6504013734976211</v>
      </c>
      <c r="W107" s="1">
        <f t="shared" si="32"/>
        <v>1.6504013734976211</v>
      </c>
      <c r="X107" s="1">
        <f t="shared" si="33"/>
        <v>1.6504013734976211</v>
      </c>
      <c r="Y107" s="1">
        <f t="shared" si="42"/>
        <v>1.6504013734976211</v>
      </c>
      <c r="Z107" s="1">
        <f t="shared" si="43"/>
        <v>1.6504013734976211</v>
      </c>
      <c r="AA107" s="1">
        <f t="shared" si="34"/>
        <v>0.55013379116587369</v>
      </c>
      <c r="AB107" s="1">
        <f t="shared" si="35"/>
        <v>0.55013379116587369</v>
      </c>
      <c r="AC107" s="1">
        <f t="shared" si="36"/>
        <v>1.1002675823317474</v>
      </c>
      <c r="AD107" s="1">
        <f t="shared" si="37"/>
        <v>1.1002675823317474</v>
      </c>
      <c r="AE107" s="1">
        <f t="shared" si="38"/>
        <v>1.1002675823317474</v>
      </c>
      <c r="AF107" s="1">
        <f t="shared" si="39"/>
        <v>0.55013379116587369</v>
      </c>
      <c r="AG107" s="1">
        <f t="shared" si="40"/>
        <v>0.55013379116587369</v>
      </c>
      <c r="AH107" s="1">
        <f t="shared" si="41"/>
        <v>0</v>
      </c>
      <c r="AI107" s="1">
        <f t="shared" si="44"/>
        <v>0.82520068674881053</v>
      </c>
      <c r="AJ107" s="1">
        <f t="shared" si="45"/>
        <v>1.6504013734976211</v>
      </c>
      <c r="AK107" s="1">
        <f t="shared" si="46"/>
        <v>1.6504013734976211</v>
      </c>
      <c r="AL107" s="1">
        <f t="shared" si="47"/>
        <v>0.55013379116587369</v>
      </c>
      <c r="AM107" s="1">
        <f t="shared" si="48"/>
        <v>1.1002675823317474</v>
      </c>
      <c r="AN107" s="1">
        <f t="shared" si="49"/>
        <v>1.1002675823317474</v>
      </c>
      <c r="AO107" s="1">
        <f t="shared" si="50"/>
        <v>0.36675586077724914</v>
      </c>
    </row>
    <row r="108" spans="1:41" x14ac:dyDescent="0.2">
      <c r="A108">
        <v>106</v>
      </c>
      <c r="B108" t="s">
        <v>42</v>
      </c>
      <c r="C108">
        <v>2</v>
      </c>
      <c r="D108">
        <v>2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2</v>
      </c>
      <c r="K108">
        <v>1</v>
      </c>
      <c r="L108">
        <v>3</v>
      </c>
      <c r="M108">
        <v>2</v>
      </c>
      <c r="N108">
        <v>3</v>
      </c>
      <c r="O108">
        <v>2</v>
      </c>
      <c r="P108">
        <v>2</v>
      </c>
      <c r="Q108">
        <v>1</v>
      </c>
      <c r="R108">
        <v>187.804</v>
      </c>
      <c r="S108">
        <v>25886.612000000001</v>
      </c>
      <c r="T108" s="1">
        <f t="shared" si="29"/>
        <v>1.4509739629117939</v>
      </c>
      <c r="U108" s="1">
        <f t="shared" si="30"/>
        <v>1.4509739629117939</v>
      </c>
      <c r="V108" s="1">
        <f t="shared" si="31"/>
        <v>2.1764609443676908</v>
      </c>
      <c r="W108" s="1">
        <f t="shared" si="32"/>
        <v>2.1764609443676908</v>
      </c>
      <c r="X108" s="1">
        <f t="shared" si="33"/>
        <v>2.1764609443676908</v>
      </c>
      <c r="Y108" s="1">
        <f t="shared" si="42"/>
        <v>2.1764609443676908</v>
      </c>
      <c r="Z108" s="1">
        <f t="shared" si="43"/>
        <v>2.1764609443676908</v>
      </c>
      <c r="AA108" s="1">
        <f t="shared" si="34"/>
        <v>1.4509739629117939</v>
      </c>
      <c r="AB108" s="1">
        <f t="shared" si="35"/>
        <v>0.72548698145589696</v>
      </c>
      <c r="AC108" s="1">
        <f t="shared" si="36"/>
        <v>2.1764609443676908</v>
      </c>
      <c r="AD108" s="1">
        <f t="shared" si="37"/>
        <v>1.4509739629117939</v>
      </c>
      <c r="AE108" s="1">
        <f t="shared" si="38"/>
        <v>2.1764609443676908</v>
      </c>
      <c r="AF108" s="1">
        <f t="shared" si="39"/>
        <v>1.4509739629117939</v>
      </c>
      <c r="AG108" s="1">
        <f t="shared" si="40"/>
        <v>1.4509739629117939</v>
      </c>
      <c r="AH108" s="1">
        <f t="shared" si="41"/>
        <v>0.72548698145589696</v>
      </c>
      <c r="AI108" s="1">
        <f t="shared" si="44"/>
        <v>1.4509739629117939</v>
      </c>
      <c r="AJ108" s="1">
        <f t="shared" si="45"/>
        <v>2.1764609443676908</v>
      </c>
      <c r="AK108" s="1">
        <f t="shared" si="46"/>
        <v>2.1764609443676908</v>
      </c>
      <c r="AL108" s="1">
        <f t="shared" si="47"/>
        <v>1.0882304721838454</v>
      </c>
      <c r="AM108" s="1">
        <f t="shared" si="48"/>
        <v>2.1764609443676908</v>
      </c>
      <c r="AN108" s="1">
        <f t="shared" si="49"/>
        <v>1.8137174536397422</v>
      </c>
      <c r="AO108" s="1">
        <f t="shared" si="50"/>
        <v>1.2091449690931617</v>
      </c>
    </row>
    <row r="109" spans="1:41" x14ac:dyDescent="0.2">
      <c r="A109">
        <v>107</v>
      </c>
      <c r="B109" t="s">
        <v>47</v>
      </c>
      <c r="C109">
        <v>2</v>
      </c>
      <c r="D109">
        <v>2</v>
      </c>
      <c r="E109">
        <v>2</v>
      </c>
      <c r="F109">
        <v>2</v>
      </c>
      <c r="G109">
        <v>2</v>
      </c>
      <c r="H109">
        <v>3</v>
      </c>
      <c r="I109">
        <v>3</v>
      </c>
      <c r="J109">
        <v>2</v>
      </c>
      <c r="K109">
        <v>2</v>
      </c>
      <c r="L109">
        <v>2</v>
      </c>
      <c r="M109">
        <v>1</v>
      </c>
      <c r="N109">
        <v>2</v>
      </c>
      <c r="O109">
        <v>1</v>
      </c>
      <c r="P109">
        <v>1</v>
      </c>
      <c r="Q109">
        <v>2</v>
      </c>
      <c r="R109">
        <v>103.351</v>
      </c>
      <c r="S109">
        <v>25886.612000000001</v>
      </c>
      <c r="T109" s="1">
        <f t="shared" si="29"/>
        <v>0.79848996848254994</v>
      </c>
      <c r="U109" s="1">
        <f t="shared" si="30"/>
        <v>0.79848996848254994</v>
      </c>
      <c r="V109" s="1">
        <f t="shared" si="31"/>
        <v>0.79848996848254994</v>
      </c>
      <c r="W109" s="1">
        <f t="shared" si="32"/>
        <v>0.79848996848254994</v>
      </c>
      <c r="X109" s="1">
        <f t="shared" si="33"/>
        <v>0.79848996848254994</v>
      </c>
      <c r="Y109" s="1">
        <f t="shared" si="42"/>
        <v>1.1977349527238248</v>
      </c>
      <c r="Z109" s="1">
        <f t="shared" si="43"/>
        <v>1.1977349527238248</v>
      </c>
      <c r="AA109" s="1">
        <f t="shared" si="34"/>
        <v>0.79848996848254994</v>
      </c>
      <c r="AB109" s="1">
        <f t="shared" si="35"/>
        <v>0.79848996848254994</v>
      </c>
      <c r="AC109" s="1">
        <f t="shared" si="36"/>
        <v>0.79848996848254994</v>
      </c>
      <c r="AD109" s="1">
        <f t="shared" si="37"/>
        <v>0.39924498424127497</v>
      </c>
      <c r="AE109" s="1">
        <f t="shared" si="38"/>
        <v>0.79848996848254994</v>
      </c>
      <c r="AF109" s="1">
        <f t="shared" si="39"/>
        <v>0.39924498424127497</v>
      </c>
      <c r="AG109" s="1">
        <f t="shared" si="40"/>
        <v>0.39924498424127497</v>
      </c>
      <c r="AH109" s="1">
        <f t="shared" si="41"/>
        <v>0.79848996848254994</v>
      </c>
      <c r="AI109" s="1">
        <f t="shared" si="44"/>
        <v>0.79848996848254994</v>
      </c>
      <c r="AJ109" s="1">
        <f t="shared" si="45"/>
        <v>0.79848996848254994</v>
      </c>
      <c r="AK109" s="1">
        <f t="shared" si="46"/>
        <v>1.0646532913100666</v>
      </c>
      <c r="AL109" s="1">
        <f t="shared" si="47"/>
        <v>0.79848996848254994</v>
      </c>
      <c r="AM109" s="1">
        <f t="shared" si="48"/>
        <v>0.79848996848254994</v>
      </c>
      <c r="AN109" s="1">
        <f t="shared" si="49"/>
        <v>0.5988674763619124</v>
      </c>
      <c r="AO109" s="1">
        <f t="shared" si="50"/>
        <v>0.53232664565503329</v>
      </c>
    </row>
    <row r="110" spans="1:41" x14ac:dyDescent="0.2">
      <c r="A110">
        <v>108</v>
      </c>
      <c r="B110" t="s">
        <v>53</v>
      </c>
      <c r="C110">
        <v>3</v>
      </c>
      <c r="D110">
        <v>2</v>
      </c>
      <c r="E110">
        <v>3</v>
      </c>
      <c r="F110">
        <v>3</v>
      </c>
      <c r="G110">
        <v>3</v>
      </c>
      <c r="H110">
        <v>3</v>
      </c>
      <c r="I110">
        <v>2</v>
      </c>
      <c r="J110">
        <v>1</v>
      </c>
      <c r="K110">
        <v>1</v>
      </c>
      <c r="L110">
        <v>2</v>
      </c>
      <c r="M110">
        <v>1</v>
      </c>
      <c r="N110">
        <v>2</v>
      </c>
      <c r="O110">
        <v>2</v>
      </c>
      <c r="P110">
        <v>2</v>
      </c>
      <c r="Q110">
        <v>0</v>
      </c>
      <c r="R110">
        <v>43.649000000000001</v>
      </c>
      <c r="S110">
        <v>25886.612000000001</v>
      </c>
      <c r="T110" s="1">
        <f t="shared" si="29"/>
        <v>0.50584835126357974</v>
      </c>
      <c r="U110" s="1">
        <f t="shared" si="30"/>
        <v>0.33723223417571985</v>
      </c>
      <c r="V110" s="1">
        <f t="shared" si="31"/>
        <v>0.50584835126357974</v>
      </c>
      <c r="W110" s="1">
        <f t="shared" si="32"/>
        <v>0.50584835126357974</v>
      </c>
      <c r="X110" s="1">
        <f t="shared" si="33"/>
        <v>0.50584835126357974</v>
      </c>
      <c r="Y110" s="1">
        <f t="shared" si="42"/>
        <v>0.50584835126357974</v>
      </c>
      <c r="Z110" s="1">
        <f t="shared" si="43"/>
        <v>0.33723223417571985</v>
      </c>
      <c r="AA110" s="1">
        <f t="shared" si="34"/>
        <v>0.16861611708785992</v>
      </c>
      <c r="AB110" s="1">
        <f t="shared" si="35"/>
        <v>0.16861611708785992</v>
      </c>
      <c r="AC110" s="1">
        <f t="shared" si="36"/>
        <v>0.33723223417571985</v>
      </c>
      <c r="AD110" s="1">
        <f t="shared" si="37"/>
        <v>0.16861611708785992</v>
      </c>
      <c r="AE110" s="1">
        <f t="shared" si="38"/>
        <v>0.33723223417571985</v>
      </c>
      <c r="AF110" s="1">
        <f t="shared" si="39"/>
        <v>0.33723223417571985</v>
      </c>
      <c r="AG110" s="1">
        <f t="shared" si="40"/>
        <v>0.33723223417571985</v>
      </c>
      <c r="AH110" s="1">
        <f t="shared" si="41"/>
        <v>0</v>
      </c>
      <c r="AI110" s="1">
        <f t="shared" si="44"/>
        <v>0.42154029271964977</v>
      </c>
      <c r="AJ110" s="1">
        <f t="shared" si="45"/>
        <v>0.50584835126357974</v>
      </c>
      <c r="AK110" s="1">
        <f t="shared" si="46"/>
        <v>0.44964297890095978</v>
      </c>
      <c r="AL110" s="1">
        <f t="shared" si="47"/>
        <v>0.16861611708785992</v>
      </c>
      <c r="AM110" s="1">
        <f t="shared" si="48"/>
        <v>0.33723223417571985</v>
      </c>
      <c r="AN110" s="1">
        <f t="shared" si="49"/>
        <v>0.25292417563178987</v>
      </c>
      <c r="AO110" s="1">
        <f t="shared" si="50"/>
        <v>0.22482148945047989</v>
      </c>
    </row>
    <row r="111" spans="1:41" x14ac:dyDescent="0.2">
      <c r="A111">
        <v>109</v>
      </c>
      <c r="B111" t="s">
        <v>55</v>
      </c>
      <c r="C111">
        <v>2</v>
      </c>
      <c r="D111">
        <v>2</v>
      </c>
      <c r="E111">
        <v>3</v>
      </c>
      <c r="F111">
        <v>3</v>
      </c>
      <c r="G111">
        <v>3</v>
      </c>
      <c r="H111">
        <v>2</v>
      </c>
      <c r="I111">
        <v>3</v>
      </c>
      <c r="J111">
        <v>1</v>
      </c>
      <c r="K111">
        <v>1</v>
      </c>
      <c r="L111">
        <v>2</v>
      </c>
      <c r="M111">
        <v>1</v>
      </c>
      <c r="N111">
        <v>1</v>
      </c>
      <c r="O111">
        <v>1</v>
      </c>
      <c r="P111">
        <v>2</v>
      </c>
      <c r="Q111">
        <v>0</v>
      </c>
      <c r="R111">
        <v>143.06100000000001</v>
      </c>
      <c r="S111">
        <v>25886.612000000001</v>
      </c>
      <c r="T111" s="1">
        <f t="shared" si="29"/>
        <v>1.1052894832278555</v>
      </c>
      <c r="U111" s="1">
        <f t="shared" si="30"/>
        <v>1.1052894832278555</v>
      </c>
      <c r="V111" s="1">
        <f t="shared" si="31"/>
        <v>1.6579342248417832</v>
      </c>
      <c r="W111" s="1">
        <f t="shared" si="32"/>
        <v>1.6579342248417832</v>
      </c>
      <c r="X111" s="1">
        <f t="shared" si="33"/>
        <v>1.6579342248417832</v>
      </c>
      <c r="Y111" s="1">
        <f t="shared" si="42"/>
        <v>1.1052894832278555</v>
      </c>
      <c r="Z111" s="1">
        <f t="shared" si="43"/>
        <v>1.6579342248417832</v>
      </c>
      <c r="AA111" s="1">
        <f t="shared" si="34"/>
        <v>0.55264474161392774</v>
      </c>
      <c r="AB111" s="1">
        <f t="shared" si="35"/>
        <v>0.55264474161392774</v>
      </c>
      <c r="AC111" s="1">
        <f t="shared" si="36"/>
        <v>1.1052894832278555</v>
      </c>
      <c r="AD111" s="1">
        <f t="shared" si="37"/>
        <v>0.55264474161392774</v>
      </c>
      <c r="AE111" s="1">
        <f t="shared" si="38"/>
        <v>0.55264474161392774</v>
      </c>
      <c r="AF111" s="1">
        <f t="shared" si="39"/>
        <v>0.55264474161392774</v>
      </c>
      <c r="AG111" s="1">
        <f t="shared" si="40"/>
        <v>1.1052894832278555</v>
      </c>
      <c r="AH111" s="1">
        <f t="shared" si="41"/>
        <v>0</v>
      </c>
      <c r="AI111" s="1">
        <f t="shared" si="44"/>
        <v>1.1052894832278555</v>
      </c>
      <c r="AJ111" s="1">
        <f t="shared" si="45"/>
        <v>1.6579342248417832</v>
      </c>
      <c r="AK111" s="1">
        <f t="shared" si="46"/>
        <v>1.473719310970474</v>
      </c>
      <c r="AL111" s="1">
        <f t="shared" si="47"/>
        <v>0.55264474161392774</v>
      </c>
      <c r="AM111" s="1">
        <f t="shared" si="48"/>
        <v>1.1052894832278555</v>
      </c>
      <c r="AN111" s="1">
        <f t="shared" si="49"/>
        <v>0.55264474161392774</v>
      </c>
      <c r="AO111" s="1">
        <f t="shared" si="50"/>
        <v>0.55264474161392774</v>
      </c>
    </row>
    <row r="112" spans="1:41" x14ac:dyDescent="0.2">
      <c r="A112">
        <v>110</v>
      </c>
      <c r="B112" t="s">
        <v>42</v>
      </c>
      <c r="C112">
        <v>3</v>
      </c>
      <c r="D112">
        <v>3</v>
      </c>
      <c r="E112">
        <v>3</v>
      </c>
      <c r="F112">
        <v>3</v>
      </c>
      <c r="G112">
        <v>3</v>
      </c>
      <c r="H112">
        <v>3</v>
      </c>
      <c r="I112">
        <v>2</v>
      </c>
      <c r="J112">
        <v>2</v>
      </c>
      <c r="K112">
        <v>2</v>
      </c>
      <c r="L112">
        <v>3</v>
      </c>
      <c r="M112">
        <v>2</v>
      </c>
      <c r="N112">
        <v>3</v>
      </c>
      <c r="O112">
        <v>3</v>
      </c>
      <c r="P112">
        <v>2</v>
      </c>
      <c r="Q112">
        <v>1</v>
      </c>
      <c r="R112">
        <v>56.000999999999998</v>
      </c>
      <c r="S112">
        <v>25886.612000000001</v>
      </c>
      <c r="T112" s="1">
        <f t="shared" si="29"/>
        <v>0.64899570480679347</v>
      </c>
      <c r="U112" s="1">
        <f t="shared" si="30"/>
        <v>0.64899570480679347</v>
      </c>
      <c r="V112" s="1">
        <f t="shared" si="31"/>
        <v>0.64899570480679347</v>
      </c>
      <c r="W112" s="1">
        <f t="shared" si="32"/>
        <v>0.64899570480679347</v>
      </c>
      <c r="X112" s="1">
        <f t="shared" si="33"/>
        <v>0.64899570480679347</v>
      </c>
      <c r="Y112" s="1">
        <f t="shared" si="42"/>
        <v>0.64899570480679347</v>
      </c>
      <c r="Z112" s="1">
        <f t="shared" si="43"/>
        <v>0.43266380320452896</v>
      </c>
      <c r="AA112" s="1">
        <f t="shared" si="34"/>
        <v>0.43266380320452896</v>
      </c>
      <c r="AB112" s="1">
        <f t="shared" si="35"/>
        <v>0.43266380320452896</v>
      </c>
      <c r="AC112" s="1">
        <f t="shared" si="36"/>
        <v>0.64899570480679347</v>
      </c>
      <c r="AD112" s="1">
        <f t="shared" si="37"/>
        <v>0.43266380320452896</v>
      </c>
      <c r="AE112" s="1">
        <f t="shared" si="38"/>
        <v>0.64899570480679347</v>
      </c>
      <c r="AF112" s="1">
        <f t="shared" si="39"/>
        <v>0.64899570480679347</v>
      </c>
      <c r="AG112" s="1">
        <f t="shared" si="40"/>
        <v>0.43266380320452896</v>
      </c>
      <c r="AH112" s="1">
        <f t="shared" si="41"/>
        <v>0.21633190160226448</v>
      </c>
      <c r="AI112" s="1">
        <f t="shared" si="44"/>
        <v>0.64899570480679347</v>
      </c>
      <c r="AJ112" s="1">
        <f t="shared" si="45"/>
        <v>0.64899570480679347</v>
      </c>
      <c r="AK112" s="1">
        <f t="shared" si="46"/>
        <v>0.57688507093937191</v>
      </c>
      <c r="AL112" s="1">
        <f t="shared" si="47"/>
        <v>0.43266380320452896</v>
      </c>
      <c r="AM112" s="1">
        <f t="shared" si="48"/>
        <v>0.64899570480679347</v>
      </c>
      <c r="AN112" s="1">
        <f t="shared" si="49"/>
        <v>0.54082975400566125</v>
      </c>
      <c r="AO112" s="1">
        <f t="shared" si="50"/>
        <v>0.43266380320452896</v>
      </c>
    </row>
    <row r="113" spans="1:41" x14ac:dyDescent="0.2">
      <c r="A113">
        <v>111</v>
      </c>
      <c r="B113" t="s">
        <v>56</v>
      </c>
      <c r="C113">
        <v>1</v>
      </c>
      <c r="D113">
        <v>2</v>
      </c>
      <c r="E113">
        <v>3</v>
      </c>
      <c r="F113">
        <v>3</v>
      </c>
      <c r="G113">
        <v>3</v>
      </c>
      <c r="H113">
        <v>3</v>
      </c>
      <c r="I113">
        <v>3</v>
      </c>
      <c r="J113">
        <v>1</v>
      </c>
      <c r="K113">
        <v>1</v>
      </c>
      <c r="L113">
        <v>3</v>
      </c>
      <c r="M113">
        <v>1</v>
      </c>
      <c r="N113">
        <v>2</v>
      </c>
      <c r="O113">
        <v>2</v>
      </c>
      <c r="P113">
        <v>0</v>
      </c>
      <c r="Q113">
        <v>2</v>
      </c>
      <c r="R113">
        <v>148.06800000000001</v>
      </c>
      <c r="S113">
        <v>25886.612000000001</v>
      </c>
      <c r="T113" s="1">
        <f t="shared" si="29"/>
        <v>0.57198678606532216</v>
      </c>
      <c r="U113" s="1">
        <f t="shared" si="30"/>
        <v>1.1439735721306443</v>
      </c>
      <c r="V113" s="1">
        <f t="shared" si="31"/>
        <v>1.7159603581959666</v>
      </c>
      <c r="W113" s="1">
        <f t="shared" si="32"/>
        <v>1.7159603581959666</v>
      </c>
      <c r="X113" s="1">
        <f t="shared" si="33"/>
        <v>1.7159603581959666</v>
      </c>
      <c r="Y113" s="1">
        <f t="shared" si="42"/>
        <v>1.7159603581959666</v>
      </c>
      <c r="Z113" s="1">
        <f t="shared" si="43"/>
        <v>1.7159603581959666</v>
      </c>
      <c r="AA113" s="1">
        <f t="shared" si="34"/>
        <v>0.57198678606532216</v>
      </c>
      <c r="AB113" s="1">
        <f t="shared" si="35"/>
        <v>0.57198678606532216</v>
      </c>
      <c r="AC113" s="1">
        <f t="shared" si="36"/>
        <v>1.7159603581959666</v>
      </c>
      <c r="AD113" s="1">
        <f t="shared" si="37"/>
        <v>0.57198678606532216</v>
      </c>
      <c r="AE113" s="1">
        <f t="shared" si="38"/>
        <v>1.1439735721306443</v>
      </c>
      <c r="AF113" s="1">
        <f t="shared" si="39"/>
        <v>1.1439735721306443</v>
      </c>
      <c r="AG113" s="1">
        <f t="shared" si="40"/>
        <v>0</v>
      </c>
      <c r="AH113" s="1">
        <f t="shared" si="41"/>
        <v>1.1439735721306443</v>
      </c>
      <c r="AI113" s="1">
        <f t="shared" si="44"/>
        <v>0.8579801790979833</v>
      </c>
      <c r="AJ113" s="1">
        <f t="shared" si="45"/>
        <v>1.7159603581959666</v>
      </c>
      <c r="AK113" s="1">
        <f t="shared" si="46"/>
        <v>1.7159603581959668</v>
      </c>
      <c r="AL113" s="1">
        <f t="shared" si="47"/>
        <v>0.57198678606532216</v>
      </c>
      <c r="AM113" s="1">
        <f t="shared" si="48"/>
        <v>1.7159603581959666</v>
      </c>
      <c r="AN113" s="1">
        <f t="shared" si="49"/>
        <v>0.8579801790979833</v>
      </c>
      <c r="AO113" s="1">
        <f t="shared" si="50"/>
        <v>0.76264904808709622</v>
      </c>
    </row>
    <row r="114" spans="1:41" x14ac:dyDescent="0.2">
      <c r="A114">
        <v>112</v>
      </c>
      <c r="B114" t="s">
        <v>57</v>
      </c>
      <c r="C114">
        <v>3</v>
      </c>
      <c r="D114">
        <v>3</v>
      </c>
      <c r="E114">
        <v>3</v>
      </c>
      <c r="F114">
        <v>3</v>
      </c>
      <c r="G114">
        <v>3</v>
      </c>
      <c r="H114">
        <v>3</v>
      </c>
      <c r="I114">
        <v>1</v>
      </c>
      <c r="J114">
        <v>1</v>
      </c>
      <c r="K114">
        <v>2</v>
      </c>
      <c r="L114">
        <v>2</v>
      </c>
      <c r="M114">
        <v>1</v>
      </c>
      <c r="N114">
        <v>2</v>
      </c>
      <c r="O114">
        <v>2</v>
      </c>
      <c r="P114">
        <v>1</v>
      </c>
      <c r="Q114">
        <v>3</v>
      </c>
      <c r="R114">
        <v>62.631999999999998</v>
      </c>
      <c r="S114">
        <v>25886.612000000001</v>
      </c>
      <c r="T114" s="1">
        <f t="shared" si="29"/>
        <v>0.7258423775193138</v>
      </c>
      <c r="U114" s="1">
        <f t="shared" si="30"/>
        <v>0.7258423775193138</v>
      </c>
      <c r="V114" s="1">
        <f t="shared" si="31"/>
        <v>0.7258423775193138</v>
      </c>
      <c r="W114" s="1">
        <f t="shared" si="32"/>
        <v>0.7258423775193138</v>
      </c>
      <c r="X114" s="1">
        <f t="shared" si="33"/>
        <v>0.7258423775193138</v>
      </c>
      <c r="Y114" s="1">
        <f t="shared" si="42"/>
        <v>0.7258423775193138</v>
      </c>
      <c r="Z114" s="1">
        <f t="shared" si="43"/>
        <v>0.24194745917310459</v>
      </c>
      <c r="AA114" s="1">
        <f t="shared" si="34"/>
        <v>0.24194745917310459</v>
      </c>
      <c r="AB114" s="1">
        <f t="shared" si="35"/>
        <v>0.48389491834620918</v>
      </c>
      <c r="AC114" s="1">
        <f t="shared" si="36"/>
        <v>0.48389491834620918</v>
      </c>
      <c r="AD114" s="1">
        <f t="shared" si="37"/>
        <v>0.24194745917310459</v>
      </c>
      <c r="AE114" s="1">
        <f t="shared" si="38"/>
        <v>0.48389491834620918</v>
      </c>
      <c r="AF114" s="1">
        <f t="shared" si="39"/>
        <v>0.48389491834620918</v>
      </c>
      <c r="AG114" s="1">
        <f t="shared" si="40"/>
        <v>0.24194745917310459</v>
      </c>
      <c r="AH114" s="1">
        <f t="shared" si="41"/>
        <v>0.7258423775193138</v>
      </c>
      <c r="AI114" s="1">
        <f t="shared" si="44"/>
        <v>0.7258423775193138</v>
      </c>
      <c r="AJ114" s="1">
        <f t="shared" si="45"/>
        <v>0.7258423775193138</v>
      </c>
      <c r="AK114" s="1">
        <f t="shared" si="46"/>
        <v>0.56454407140391072</v>
      </c>
      <c r="AL114" s="1">
        <f t="shared" si="47"/>
        <v>0.3629211887596569</v>
      </c>
      <c r="AM114" s="1">
        <f t="shared" si="48"/>
        <v>0.48389491834620918</v>
      </c>
      <c r="AN114" s="1">
        <f t="shared" si="49"/>
        <v>0.3629211887596569</v>
      </c>
      <c r="AO114" s="1">
        <f t="shared" si="50"/>
        <v>0.48389491834620918</v>
      </c>
    </row>
    <row r="115" spans="1:41" x14ac:dyDescent="0.2">
      <c r="A115">
        <v>113</v>
      </c>
      <c r="B115" t="s">
        <v>58</v>
      </c>
      <c r="C115">
        <v>2</v>
      </c>
      <c r="D115">
        <v>3</v>
      </c>
      <c r="E115">
        <v>3</v>
      </c>
      <c r="F115">
        <v>3</v>
      </c>
      <c r="G115">
        <v>3</v>
      </c>
      <c r="H115">
        <v>3</v>
      </c>
      <c r="I115">
        <v>3</v>
      </c>
      <c r="J115">
        <v>1</v>
      </c>
      <c r="K115">
        <v>1</v>
      </c>
      <c r="L115">
        <v>1</v>
      </c>
      <c r="M115">
        <v>2</v>
      </c>
      <c r="N115">
        <v>1</v>
      </c>
      <c r="O115">
        <v>1</v>
      </c>
      <c r="P115">
        <v>1</v>
      </c>
      <c r="Q115">
        <v>0</v>
      </c>
      <c r="R115">
        <v>166.554</v>
      </c>
      <c r="S115">
        <v>25886.612000000001</v>
      </c>
      <c r="T115" s="1">
        <f t="shared" si="29"/>
        <v>1.2867964336159556</v>
      </c>
      <c r="U115" s="1">
        <f t="shared" si="30"/>
        <v>1.9301946504239336</v>
      </c>
      <c r="V115" s="1">
        <f t="shared" si="31"/>
        <v>1.9301946504239336</v>
      </c>
      <c r="W115" s="1">
        <f t="shared" si="32"/>
        <v>1.9301946504239336</v>
      </c>
      <c r="X115" s="1">
        <f t="shared" si="33"/>
        <v>1.9301946504239336</v>
      </c>
      <c r="Y115" s="1">
        <f t="shared" si="42"/>
        <v>1.9301946504239336</v>
      </c>
      <c r="Z115" s="1">
        <f t="shared" si="43"/>
        <v>1.9301946504239336</v>
      </c>
      <c r="AA115" s="1">
        <f t="shared" si="34"/>
        <v>0.64339821680797782</v>
      </c>
      <c r="AB115" s="1">
        <f t="shared" si="35"/>
        <v>0.64339821680797782</v>
      </c>
      <c r="AC115" s="1">
        <f t="shared" si="36"/>
        <v>0.64339821680797782</v>
      </c>
      <c r="AD115" s="1">
        <f t="shared" si="37"/>
        <v>1.2867964336159556</v>
      </c>
      <c r="AE115" s="1">
        <f t="shared" si="38"/>
        <v>0.64339821680797782</v>
      </c>
      <c r="AF115" s="1">
        <f t="shared" si="39"/>
        <v>0.64339821680797782</v>
      </c>
      <c r="AG115" s="1">
        <f t="shared" si="40"/>
        <v>0.64339821680797782</v>
      </c>
      <c r="AH115" s="1">
        <f t="shared" si="41"/>
        <v>0</v>
      </c>
      <c r="AI115" s="1">
        <f t="shared" si="44"/>
        <v>1.6084955420199445</v>
      </c>
      <c r="AJ115" s="1">
        <f t="shared" si="45"/>
        <v>1.9301946504239336</v>
      </c>
      <c r="AK115" s="1">
        <f t="shared" si="46"/>
        <v>1.9301946504239336</v>
      </c>
      <c r="AL115" s="1">
        <f t="shared" si="47"/>
        <v>0.64339821680797782</v>
      </c>
      <c r="AM115" s="1">
        <f t="shared" si="48"/>
        <v>0.64339821680797782</v>
      </c>
      <c r="AN115" s="1">
        <f t="shared" si="49"/>
        <v>0.96509732521196678</v>
      </c>
      <c r="AO115" s="1">
        <f t="shared" si="50"/>
        <v>0.42893214453865186</v>
      </c>
    </row>
    <row r="116" spans="1:41" x14ac:dyDescent="0.2">
      <c r="A116">
        <v>114</v>
      </c>
      <c r="B116" t="s">
        <v>42</v>
      </c>
      <c r="C116">
        <v>2</v>
      </c>
      <c r="D116">
        <v>3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2</v>
      </c>
      <c r="K116">
        <v>2</v>
      </c>
      <c r="L116">
        <v>3</v>
      </c>
      <c r="M116">
        <v>2</v>
      </c>
      <c r="N116">
        <v>3</v>
      </c>
      <c r="O116">
        <v>3</v>
      </c>
      <c r="P116">
        <v>1</v>
      </c>
      <c r="Q116">
        <v>1</v>
      </c>
      <c r="R116">
        <v>65.540999999999997</v>
      </c>
      <c r="S116">
        <v>25886.612000000001</v>
      </c>
      <c r="T116" s="1">
        <f t="shared" si="29"/>
        <v>0.50636985635663712</v>
      </c>
      <c r="U116" s="1">
        <f t="shared" si="30"/>
        <v>0.75955478453495573</v>
      </c>
      <c r="V116" s="1">
        <f t="shared" si="31"/>
        <v>0.75955478453495573</v>
      </c>
      <c r="W116" s="1">
        <f t="shared" si="32"/>
        <v>0.75955478453495573</v>
      </c>
      <c r="X116" s="1">
        <f t="shared" si="33"/>
        <v>0.75955478453495573</v>
      </c>
      <c r="Y116" s="1">
        <f t="shared" si="42"/>
        <v>0.75955478453495573</v>
      </c>
      <c r="Z116" s="1">
        <f t="shared" si="43"/>
        <v>0.75955478453495573</v>
      </c>
      <c r="AA116" s="1">
        <f t="shared" si="34"/>
        <v>0.50636985635663712</v>
      </c>
      <c r="AB116" s="1">
        <f t="shared" si="35"/>
        <v>0.50636985635663712</v>
      </c>
      <c r="AC116" s="1">
        <f t="shared" si="36"/>
        <v>0.75955478453495573</v>
      </c>
      <c r="AD116" s="1">
        <f t="shared" si="37"/>
        <v>0.50636985635663712</v>
      </c>
      <c r="AE116" s="1">
        <f t="shared" si="38"/>
        <v>0.75955478453495573</v>
      </c>
      <c r="AF116" s="1">
        <f t="shared" si="39"/>
        <v>0.75955478453495573</v>
      </c>
      <c r="AG116" s="1">
        <f t="shared" si="40"/>
        <v>0.25318492817831856</v>
      </c>
      <c r="AH116" s="1">
        <f t="shared" si="41"/>
        <v>0.25318492817831856</v>
      </c>
      <c r="AI116" s="1">
        <f t="shared" si="44"/>
        <v>0.63296232044579637</v>
      </c>
      <c r="AJ116" s="1">
        <f t="shared" si="45"/>
        <v>0.75955478453495573</v>
      </c>
      <c r="AK116" s="1">
        <f t="shared" si="46"/>
        <v>0.75955478453495573</v>
      </c>
      <c r="AL116" s="1">
        <f t="shared" si="47"/>
        <v>0.50636985635663712</v>
      </c>
      <c r="AM116" s="1">
        <f t="shared" si="48"/>
        <v>0.75955478453495573</v>
      </c>
      <c r="AN116" s="1">
        <f t="shared" si="49"/>
        <v>0.63296232044579637</v>
      </c>
      <c r="AO116" s="1">
        <f t="shared" si="50"/>
        <v>0.4219748802971976</v>
      </c>
    </row>
    <row r="117" spans="1:41" x14ac:dyDescent="0.2">
      <c r="A117">
        <v>115</v>
      </c>
      <c r="B117" t="s">
        <v>56</v>
      </c>
      <c r="C117">
        <v>1</v>
      </c>
      <c r="D117">
        <v>2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1</v>
      </c>
      <c r="K117">
        <v>1</v>
      </c>
      <c r="L117">
        <v>3</v>
      </c>
      <c r="M117">
        <v>2</v>
      </c>
      <c r="N117">
        <v>1</v>
      </c>
      <c r="O117">
        <v>2</v>
      </c>
      <c r="P117">
        <v>1</v>
      </c>
      <c r="Q117">
        <v>2</v>
      </c>
      <c r="R117">
        <v>150.476</v>
      </c>
      <c r="S117">
        <v>25886.612000000001</v>
      </c>
      <c r="T117" s="1">
        <f t="shared" si="29"/>
        <v>0.58128889172518983</v>
      </c>
      <c r="U117" s="1">
        <f t="shared" si="30"/>
        <v>1.1625777834503797</v>
      </c>
      <c r="V117" s="1">
        <f t="shared" si="31"/>
        <v>1.7438666751755694</v>
      </c>
      <c r="W117" s="1">
        <f t="shared" si="32"/>
        <v>1.7438666751755694</v>
      </c>
      <c r="X117" s="1">
        <f t="shared" si="33"/>
        <v>1.7438666751755694</v>
      </c>
      <c r="Y117" s="1">
        <f t="shared" si="42"/>
        <v>1.7438666751755694</v>
      </c>
      <c r="Z117" s="1">
        <f t="shared" si="43"/>
        <v>1.7438666751755694</v>
      </c>
      <c r="AA117" s="1">
        <f t="shared" si="34"/>
        <v>0.58128889172518983</v>
      </c>
      <c r="AB117" s="1">
        <f t="shared" si="35"/>
        <v>0.58128889172518983</v>
      </c>
      <c r="AC117" s="1">
        <f t="shared" si="36"/>
        <v>1.7438666751755694</v>
      </c>
      <c r="AD117" s="1">
        <f t="shared" si="37"/>
        <v>1.1625777834503797</v>
      </c>
      <c r="AE117" s="1">
        <f t="shared" si="38"/>
        <v>0.58128889172518983</v>
      </c>
      <c r="AF117" s="1">
        <f t="shared" si="39"/>
        <v>1.1625777834503797</v>
      </c>
      <c r="AG117" s="1">
        <f t="shared" si="40"/>
        <v>0.58128889172518983</v>
      </c>
      <c r="AH117" s="1">
        <f t="shared" si="41"/>
        <v>1.1625777834503797</v>
      </c>
      <c r="AI117" s="1">
        <f t="shared" si="44"/>
        <v>0.87193333758778468</v>
      </c>
      <c r="AJ117" s="1">
        <f t="shared" si="45"/>
        <v>1.7438666751755694</v>
      </c>
      <c r="AK117" s="1">
        <f t="shared" si="46"/>
        <v>1.7438666751755694</v>
      </c>
      <c r="AL117" s="1">
        <f t="shared" si="47"/>
        <v>0.58128889172518983</v>
      </c>
      <c r="AM117" s="1">
        <f t="shared" si="48"/>
        <v>1.7438666751755694</v>
      </c>
      <c r="AN117" s="1">
        <f t="shared" si="49"/>
        <v>0.87193333758778468</v>
      </c>
      <c r="AO117" s="1">
        <f t="shared" si="50"/>
        <v>0.96881481954198312</v>
      </c>
    </row>
    <row r="118" spans="1:41" x14ac:dyDescent="0.2">
      <c r="A118">
        <v>116</v>
      </c>
      <c r="B118" t="s">
        <v>57</v>
      </c>
      <c r="C118">
        <v>3</v>
      </c>
      <c r="D118">
        <v>3</v>
      </c>
      <c r="E118">
        <v>3</v>
      </c>
      <c r="F118">
        <v>3</v>
      </c>
      <c r="G118">
        <v>3</v>
      </c>
      <c r="H118">
        <v>3</v>
      </c>
      <c r="I118">
        <v>1</v>
      </c>
      <c r="J118">
        <v>1</v>
      </c>
      <c r="K118">
        <v>2</v>
      </c>
      <c r="L118">
        <v>2</v>
      </c>
      <c r="M118">
        <v>1</v>
      </c>
      <c r="N118">
        <v>1</v>
      </c>
      <c r="O118">
        <v>2</v>
      </c>
      <c r="P118">
        <v>1</v>
      </c>
      <c r="Q118">
        <v>2</v>
      </c>
      <c r="R118">
        <v>58.884</v>
      </c>
      <c r="S118">
        <v>25886.612000000001</v>
      </c>
      <c r="T118" s="1">
        <f t="shared" si="29"/>
        <v>0.68240679776866897</v>
      </c>
      <c r="U118" s="1">
        <f t="shared" si="30"/>
        <v>0.68240679776866897</v>
      </c>
      <c r="V118" s="1">
        <f t="shared" si="31"/>
        <v>0.68240679776866897</v>
      </c>
      <c r="W118" s="1">
        <f t="shared" si="32"/>
        <v>0.68240679776866897</v>
      </c>
      <c r="X118" s="1">
        <f t="shared" si="33"/>
        <v>0.68240679776866897</v>
      </c>
      <c r="Y118" s="1">
        <f t="shared" si="42"/>
        <v>0.68240679776866897</v>
      </c>
      <c r="Z118" s="1">
        <f t="shared" si="43"/>
        <v>0.22746893258955631</v>
      </c>
      <c r="AA118" s="1">
        <f t="shared" si="34"/>
        <v>0.22746893258955631</v>
      </c>
      <c r="AB118" s="1">
        <f t="shared" si="35"/>
        <v>0.45493786517911261</v>
      </c>
      <c r="AC118" s="1">
        <f t="shared" si="36"/>
        <v>0.45493786517911261</v>
      </c>
      <c r="AD118" s="1">
        <f t="shared" si="37"/>
        <v>0.22746893258955631</v>
      </c>
      <c r="AE118" s="1">
        <f t="shared" si="38"/>
        <v>0.22746893258955631</v>
      </c>
      <c r="AF118" s="1">
        <f t="shared" si="39"/>
        <v>0.45493786517911261</v>
      </c>
      <c r="AG118" s="1">
        <f t="shared" si="40"/>
        <v>0.22746893258955631</v>
      </c>
      <c r="AH118" s="1">
        <f t="shared" si="41"/>
        <v>0.45493786517911261</v>
      </c>
      <c r="AI118" s="1">
        <f t="shared" si="44"/>
        <v>0.68240679776866897</v>
      </c>
      <c r="AJ118" s="1">
        <f t="shared" si="45"/>
        <v>0.68240679776866897</v>
      </c>
      <c r="AK118" s="1">
        <f t="shared" si="46"/>
        <v>0.53076084270896473</v>
      </c>
      <c r="AL118" s="1">
        <f t="shared" si="47"/>
        <v>0.34120339888433449</v>
      </c>
      <c r="AM118" s="1">
        <f t="shared" si="48"/>
        <v>0.45493786517911261</v>
      </c>
      <c r="AN118" s="1">
        <f t="shared" si="49"/>
        <v>0.22746893258955631</v>
      </c>
      <c r="AO118" s="1">
        <f t="shared" si="50"/>
        <v>0.37911488764926055</v>
      </c>
    </row>
    <row r="119" spans="1:41" x14ac:dyDescent="0.2">
      <c r="A119">
        <v>117</v>
      </c>
      <c r="B119" t="s">
        <v>59</v>
      </c>
      <c r="C119">
        <v>1</v>
      </c>
      <c r="D119">
        <v>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2</v>
      </c>
      <c r="K119">
        <v>0</v>
      </c>
      <c r="L119">
        <v>1</v>
      </c>
      <c r="M119">
        <v>1</v>
      </c>
      <c r="N119">
        <v>2</v>
      </c>
      <c r="O119">
        <v>1</v>
      </c>
      <c r="P119">
        <v>2</v>
      </c>
      <c r="Q119">
        <v>0</v>
      </c>
      <c r="R119">
        <v>175.553</v>
      </c>
      <c r="S119">
        <v>25886.612000000001</v>
      </c>
      <c r="T119" s="1">
        <f t="shared" si="29"/>
        <v>0.67816136001111305</v>
      </c>
      <c r="U119" s="1">
        <f t="shared" si="30"/>
        <v>1.3563227200222261</v>
      </c>
      <c r="V119" s="1">
        <f t="shared" si="31"/>
        <v>2.034484080033339</v>
      </c>
      <c r="W119" s="1">
        <f t="shared" si="32"/>
        <v>2.034484080033339</v>
      </c>
      <c r="X119" s="1">
        <f t="shared" si="33"/>
        <v>2.034484080033339</v>
      </c>
      <c r="Y119" s="1">
        <f t="shared" si="42"/>
        <v>2.034484080033339</v>
      </c>
      <c r="Z119" s="1">
        <f t="shared" si="43"/>
        <v>2.034484080033339</v>
      </c>
      <c r="AA119" s="1">
        <f t="shared" si="34"/>
        <v>1.3563227200222261</v>
      </c>
      <c r="AB119" s="1">
        <f t="shared" si="35"/>
        <v>0</v>
      </c>
      <c r="AC119" s="1">
        <f t="shared" si="36"/>
        <v>0.67816136001111305</v>
      </c>
      <c r="AD119" s="1">
        <f t="shared" si="37"/>
        <v>0.67816136001111305</v>
      </c>
      <c r="AE119" s="1">
        <f t="shared" si="38"/>
        <v>1.3563227200222261</v>
      </c>
      <c r="AF119" s="1">
        <f t="shared" si="39"/>
        <v>0.67816136001111305</v>
      </c>
      <c r="AG119" s="1">
        <f t="shared" si="40"/>
        <v>1.3563227200222261</v>
      </c>
      <c r="AH119" s="1">
        <f t="shared" si="41"/>
        <v>0</v>
      </c>
      <c r="AI119" s="1">
        <f t="shared" si="44"/>
        <v>1.0172420400166695</v>
      </c>
      <c r="AJ119" s="1">
        <f t="shared" si="45"/>
        <v>2.034484080033339</v>
      </c>
      <c r="AK119" s="1">
        <f t="shared" si="46"/>
        <v>2.034484080033339</v>
      </c>
      <c r="AL119" s="1">
        <f t="shared" si="47"/>
        <v>0.67816136001111305</v>
      </c>
      <c r="AM119" s="1">
        <f t="shared" si="48"/>
        <v>0.67816136001111305</v>
      </c>
      <c r="AN119" s="1">
        <f t="shared" si="49"/>
        <v>1.0172420400166695</v>
      </c>
      <c r="AO119" s="1">
        <f t="shared" si="50"/>
        <v>0.67816136001111305</v>
      </c>
    </row>
    <row r="120" spans="1:41" x14ac:dyDescent="0.2">
      <c r="A120">
        <v>118</v>
      </c>
      <c r="B120" t="s">
        <v>42</v>
      </c>
      <c r="C120">
        <v>2</v>
      </c>
      <c r="D120">
        <v>3</v>
      </c>
      <c r="E120">
        <v>3</v>
      </c>
      <c r="F120">
        <v>3</v>
      </c>
      <c r="G120">
        <v>3</v>
      </c>
      <c r="H120">
        <v>3</v>
      </c>
      <c r="I120">
        <v>2</v>
      </c>
      <c r="J120">
        <v>2</v>
      </c>
      <c r="K120">
        <v>2</v>
      </c>
      <c r="L120">
        <v>3</v>
      </c>
      <c r="M120">
        <v>2</v>
      </c>
      <c r="N120">
        <v>3</v>
      </c>
      <c r="O120">
        <v>3</v>
      </c>
      <c r="P120">
        <v>1</v>
      </c>
      <c r="Q120">
        <v>1</v>
      </c>
      <c r="R120">
        <v>43.18</v>
      </c>
      <c r="S120">
        <v>25886.612000000001</v>
      </c>
      <c r="T120" s="1">
        <f t="shared" si="29"/>
        <v>0.33360873952914349</v>
      </c>
      <c r="U120" s="1">
        <f t="shared" si="30"/>
        <v>0.50041310929371519</v>
      </c>
      <c r="V120" s="1">
        <f t="shared" si="31"/>
        <v>0.50041310929371519</v>
      </c>
      <c r="W120" s="1">
        <f t="shared" si="32"/>
        <v>0.50041310929371519</v>
      </c>
      <c r="X120" s="1">
        <f t="shared" si="33"/>
        <v>0.50041310929371519</v>
      </c>
      <c r="Y120" s="1">
        <f t="shared" si="42"/>
        <v>0.50041310929371519</v>
      </c>
      <c r="Z120" s="1">
        <f t="shared" si="43"/>
        <v>0.33360873952914349</v>
      </c>
      <c r="AA120" s="1">
        <f t="shared" si="34"/>
        <v>0.33360873952914349</v>
      </c>
      <c r="AB120" s="1">
        <f t="shared" si="35"/>
        <v>0.33360873952914349</v>
      </c>
      <c r="AC120" s="1">
        <f t="shared" si="36"/>
        <v>0.50041310929371519</v>
      </c>
      <c r="AD120" s="1">
        <f t="shared" si="37"/>
        <v>0.33360873952914349</v>
      </c>
      <c r="AE120" s="1">
        <f t="shared" si="38"/>
        <v>0.50041310929371519</v>
      </c>
      <c r="AF120" s="1">
        <f t="shared" si="39"/>
        <v>0.50041310929371519</v>
      </c>
      <c r="AG120" s="1">
        <f t="shared" si="40"/>
        <v>0.16680436976457175</v>
      </c>
      <c r="AH120" s="1">
        <f t="shared" si="41"/>
        <v>0.16680436976457175</v>
      </c>
      <c r="AI120" s="1">
        <f t="shared" si="44"/>
        <v>0.41701092441142934</v>
      </c>
      <c r="AJ120" s="1">
        <f t="shared" si="45"/>
        <v>0.50041310929371519</v>
      </c>
      <c r="AK120" s="1">
        <f t="shared" si="46"/>
        <v>0.44481165270552464</v>
      </c>
      <c r="AL120" s="1">
        <f t="shared" si="47"/>
        <v>0.33360873952914349</v>
      </c>
      <c r="AM120" s="1">
        <f t="shared" si="48"/>
        <v>0.50041310929371519</v>
      </c>
      <c r="AN120" s="1">
        <f t="shared" si="49"/>
        <v>0.41701092441142934</v>
      </c>
      <c r="AO120" s="1">
        <f t="shared" si="50"/>
        <v>0.27800728294095295</v>
      </c>
    </row>
    <row r="121" spans="1:41" x14ac:dyDescent="0.2">
      <c r="A121">
        <v>119</v>
      </c>
      <c r="B121" t="s">
        <v>58</v>
      </c>
      <c r="C121">
        <v>2</v>
      </c>
      <c r="D121">
        <v>2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1</v>
      </c>
      <c r="K121">
        <v>1</v>
      </c>
      <c r="L121">
        <v>2</v>
      </c>
      <c r="M121">
        <v>2</v>
      </c>
      <c r="N121">
        <v>1</v>
      </c>
      <c r="O121">
        <v>1</v>
      </c>
      <c r="P121">
        <v>1</v>
      </c>
      <c r="Q121">
        <v>0</v>
      </c>
      <c r="R121">
        <v>167.71199999999999</v>
      </c>
      <c r="S121">
        <v>25886.612000000001</v>
      </c>
      <c r="T121" s="1">
        <f t="shared" si="29"/>
        <v>1.2957431432124062</v>
      </c>
      <c r="U121" s="1">
        <f t="shared" si="30"/>
        <v>1.2957431432124062</v>
      </c>
      <c r="V121" s="1">
        <f t="shared" si="31"/>
        <v>1.9436147148186094</v>
      </c>
      <c r="W121" s="1">
        <f t="shared" si="32"/>
        <v>1.9436147148186094</v>
      </c>
      <c r="X121" s="1">
        <f t="shared" si="33"/>
        <v>1.9436147148186094</v>
      </c>
      <c r="Y121" s="1">
        <f t="shared" si="42"/>
        <v>1.9436147148186094</v>
      </c>
      <c r="Z121" s="1">
        <f t="shared" si="43"/>
        <v>1.9436147148186094</v>
      </c>
      <c r="AA121" s="1">
        <f t="shared" si="34"/>
        <v>0.64787157160620312</v>
      </c>
      <c r="AB121" s="1">
        <f t="shared" si="35"/>
        <v>0.64787157160620312</v>
      </c>
      <c r="AC121" s="1">
        <f t="shared" si="36"/>
        <v>1.2957431432124062</v>
      </c>
      <c r="AD121" s="1">
        <f t="shared" si="37"/>
        <v>1.2957431432124062</v>
      </c>
      <c r="AE121" s="1">
        <f t="shared" si="38"/>
        <v>0.64787157160620312</v>
      </c>
      <c r="AF121" s="1">
        <f t="shared" si="39"/>
        <v>0.64787157160620312</v>
      </c>
      <c r="AG121" s="1">
        <f t="shared" si="40"/>
        <v>0.64787157160620312</v>
      </c>
      <c r="AH121" s="1">
        <f t="shared" si="41"/>
        <v>0</v>
      </c>
      <c r="AI121" s="1">
        <f t="shared" si="44"/>
        <v>1.2957431432124062</v>
      </c>
      <c r="AJ121" s="1">
        <f t="shared" si="45"/>
        <v>1.9436147148186094</v>
      </c>
      <c r="AK121" s="1">
        <f t="shared" si="46"/>
        <v>1.9436147148186091</v>
      </c>
      <c r="AL121" s="1">
        <f t="shared" si="47"/>
        <v>0.64787157160620312</v>
      </c>
      <c r="AM121" s="1">
        <f t="shared" si="48"/>
        <v>1.2957431432124062</v>
      </c>
      <c r="AN121" s="1">
        <f t="shared" si="49"/>
        <v>0.97180735740930468</v>
      </c>
      <c r="AO121" s="1">
        <f t="shared" si="50"/>
        <v>0.4319143810708021</v>
      </c>
    </row>
    <row r="122" spans="1:41" x14ac:dyDescent="0.2">
      <c r="A122">
        <v>120</v>
      </c>
      <c r="B122" t="s">
        <v>57</v>
      </c>
      <c r="C122">
        <v>2</v>
      </c>
      <c r="D122">
        <v>2</v>
      </c>
      <c r="E122">
        <v>3</v>
      </c>
      <c r="F122">
        <v>3</v>
      </c>
      <c r="G122">
        <v>3</v>
      </c>
      <c r="H122">
        <v>3</v>
      </c>
      <c r="I122">
        <v>3</v>
      </c>
      <c r="J122">
        <v>1</v>
      </c>
      <c r="K122">
        <v>2</v>
      </c>
      <c r="L122">
        <v>2</v>
      </c>
      <c r="M122">
        <v>1</v>
      </c>
      <c r="N122">
        <v>1</v>
      </c>
      <c r="O122">
        <v>1</v>
      </c>
      <c r="P122">
        <v>1</v>
      </c>
      <c r="Q122">
        <v>0</v>
      </c>
      <c r="R122">
        <v>285.14600000000002</v>
      </c>
      <c r="S122">
        <v>25886.612000000001</v>
      </c>
      <c r="T122" s="1">
        <f t="shared" si="29"/>
        <v>2.2030383891101701</v>
      </c>
      <c r="U122" s="1">
        <f t="shared" si="30"/>
        <v>2.2030383891101701</v>
      </c>
      <c r="V122" s="1">
        <f t="shared" si="31"/>
        <v>3.3045575836652552</v>
      </c>
      <c r="W122" s="1">
        <f t="shared" si="32"/>
        <v>3.3045575836652552</v>
      </c>
      <c r="X122" s="1">
        <f t="shared" si="33"/>
        <v>3.3045575836652552</v>
      </c>
      <c r="Y122" s="1">
        <f t="shared" si="42"/>
        <v>3.3045575836652552</v>
      </c>
      <c r="Z122" s="1">
        <f t="shared" si="43"/>
        <v>3.3045575836652552</v>
      </c>
      <c r="AA122" s="1">
        <f t="shared" si="34"/>
        <v>1.1015191945550851</v>
      </c>
      <c r="AB122" s="1">
        <f t="shared" si="35"/>
        <v>2.2030383891101701</v>
      </c>
      <c r="AC122" s="1">
        <f t="shared" si="36"/>
        <v>2.2030383891101701</v>
      </c>
      <c r="AD122" s="1">
        <f t="shared" si="37"/>
        <v>1.1015191945550851</v>
      </c>
      <c r="AE122" s="1">
        <f t="shared" si="38"/>
        <v>1.1015191945550851</v>
      </c>
      <c r="AF122" s="1">
        <f t="shared" si="39"/>
        <v>1.1015191945550851</v>
      </c>
      <c r="AG122" s="1">
        <f t="shared" si="40"/>
        <v>1.1015191945550851</v>
      </c>
      <c r="AH122" s="1">
        <f t="shared" si="41"/>
        <v>0</v>
      </c>
      <c r="AI122" s="1">
        <f t="shared" si="44"/>
        <v>2.2030383891101701</v>
      </c>
      <c r="AJ122" s="1">
        <f t="shared" si="45"/>
        <v>3.3045575836652552</v>
      </c>
      <c r="AK122" s="1">
        <f t="shared" si="46"/>
        <v>3.3045575836652552</v>
      </c>
      <c r="AL122" s="1">
        <f t="shared" si="47"/>
        <v>1.6522787918326276</v>
      </c>
      <c r="AM122" s="1">
        <f t="shared" si="48"/>
        <v>2.2030383891101701</v>
      </c>
      <c r="AN122" s="1">
        <f t="shared" si="49"/>
        <v>1.1015191945550851</v>
      </c>
      <c r="AO122" s="1">
        <f t="shared" si="50"/>
        <v>0.73434612970339008</v>
      </c>
    </row>
    <row r="123" spans="1:41" x14ac:dyDescent="0.2">
      <c r="A123">
        <v>121</v>
      </c>
      <c r="B123" t="s">
        <v>57</v>
      </c>
      <c r="C123">
        <v>1</v>
      </c>
      <c r="D123">
        <v>3</v>
      </c>
      <c r="E123">
        <v>2</v>
      </c>
      <c r="F123">
        <v>3</v>
      </c>
      <c r="G123">
        <v>3</v>
      </c>
      <c r="H123">
        <v>3</v>
      </c>
      <c r="I123">
        <v>3</v>
      </c>
      <c r="J123">
        <v>1</v>
      </c>
      <c r="K123">
        <v>2</v>
      </c>
      <c r="L123">
        <v>2</v>
      </c>
      <c r="M123">
        <v>1</v>
      </c>
      <c r="N123">
        <v>1</v>
      </c>
      <c r="O123">
        <v>2</v>
      </c>
      <c r="P123">
        <v>2</v>
      </c>
      <c r="Q123">
        <v>0</v>
      </c>
      <c r="R123">
        <v>172.393</v>
      </c>
      <c r="S123">
        <v>25886.612000000001</v>
      </c>
      <c r="T123" s="1">
        <f t="shared" si="29"/>
        <v>0.6659542778328813</v>
      </c>
      <c r="U123" s="1">
        <f t="shared" si="30"/>
        <v>1.9978628334986439</v>
      </c>
      <c r="V123" s="1">
        <f t="shared" si="31"/>
        <v>1.3319085556657626</v>
      </c>
      <c r="W123" s="1">
        <f t="shared" si="32"/>
        <v>1.9978628334986439</v>
      </c>
      <c r="X123" s="1">
        <f t="shared" si="33"/>
        <v>1.9978628334986439</v>
      </c>
      <c r="Y123" s="1">
        <f t="shared" si="42"/>
        <v>1.9978628334986439</v>
      </c>
      <c r="Z123" s="1">
        <f t="shared" si="43"/>
        <v>1.9978628334986439</v>
      </c>
      <c r="AA123" s="1">
        <f t="shared" si="34"/>
        <v>0.6659542778328813</v>
      </c>
      <c r="AB123" s="1">
        <f t="shared" si="35"/>
        <v>1.3319085556657626</v>
      </c>
      <c r="AC123" s="1">
        <f t="shared" si="36"/>
        <v>1.3319085556657626</v>
      </c>
      <c r="AD123" s="1">
        <f t="shared" si="37"/>
        <v>0.6659542778328813</v>
      </c>
      <c r="AE123" s="1">
        <f t="shared" si="38"/>
        <v>0.6659542778328813</v>
      </c>
      <c r="AF123" s="1">
        <f t="shared" si="39"/>
        <v>1.3319085556657626</v>
      </c>
      <c r="AG123" s="1">
        <f t="shared" si="40"/>
        <v>1.3319085556657626</v>
      </c>
      <c r="AH123" s="1">
        <f t="shared" si="41"/>
        <v>0</v>
      </c>
      <c r="AI123" s="1">
        <f t="shared" si="44"/>
        <v>1.3319085556657626</v>
      </c>
      <c r="AJ123" s="1">
        <f t="shared" si="45"/>
        <v>1.6648856945822033</v>
      </c>
      <c r="AK123" s="1">
        <f t="shared" si="46"/>
        <v>1.9978628334986439</v>
      </c>
      <c r="AL123" s="1">
        <f t="shared" si="47"/>
        <v>0.99893141674932195</v>
      </c>
      <c r="AM123" s="1">
        <f t="shared" si="48"/>
        <v>1.3319085556657626</v>
      </c>
      <c r="AN123" s="1">
        <f t="shared" si="49"/>
        <v>0.6659542778328813</v>
      </c>
      <c r="AO123" s="1">
        <f t="shared" si="50"/>
        <v>0.88793903711050837</v>
      </c>
    </row>
    <row r="124" spans="1:41" x14ac:dyDescent="0.2">
      <c r="A124">
        <v>122</v>
      </c>
      <c r="B124" t="s">
        <v>25</v>
      </c>
      <c r="C124">
        <v>1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</v>
      </c>
      <c r="J124">
        <v>1</v>
      </c>
      <c r="K124">
        <v>0</v>
      </c>
      <c r="L124">
        <v>1</v>
      </c>
      <c r="M124">
        <v>2</v>
      </c>
      <c r="N124">
        <v>1</v>
      </c>
      <c r="O124">
        <v>0</v>
      </c>
      <c r="P124">
        <v>1</v>
      </c>
      <c r="Q124">
        <v>0</v>
      </c>
      <c r="R124">
        <v>268.84800000000001</v>
      </c>
      <c r="S124">
        <v>25886.612000000001</v>
      </c>
      <c r="T124" s="1">
        <f t="shared" si="29"/>
        <v>1.0385600093206482</v>
      </c>
      <c r="U124" s="1">
        <f t="shared" si="30"/>
        <v>1.0385600093206482</v>
      </c>
      <c r="V124" s="1">
        <f t="shared" si="31"/>
        <v>1.0385600093206482</v>
      </c>
      <c r="W124" s="1">
        <f t="shared" si="32"/>
        <v>2.0771200186412964</v>
      </c>
      <c r="X124" s="1">
        <f t="shared" si="33"/>
        <v>1.0385600093206482</v>
      </c>
      <c r="Y124" s="1">
        <f t="shared" si="42"/>
        <v>1.0385600093206482</v>
      </c>
      <c r="Z124" s="1">
        <f t="shared" si="43"/>
        <v>0</v>
      </c>
      <c r="AA124" s="1">
        <f t="shared" si="34"/>
        <v>1.0385600093206482</v>
      </c>
      <c r="AB124" s="1">
        <f t="shared" si="35"/>
        <v>0</v>
      </c>
      <c r="AC124" s="1">
        <f t="shared" si="36"/>
        <v>1.0385600093206482</v>
      </c>
      <c r="AD124" s="1">
        <f t="shared" si="37"/>
        <v>2.0771200186412964</v>
      </c>
      <c r="AE124" s="1">
        <f t="shared" si="38"/>
        <v>1.0385600093206482</v>
      </c>
      <c r="AF124" s="1">
        <f t="shared" si="39"/>
        <v>0</v>
      </c>
      <c r="AG124" s="1">
        <f t="shared" si="40"/>
        <v>1.0385600093206482</v>
      </c>
      <c r="AH124" s="1">
        <f t="shared" si="41"/>
        <v>0</v>
      </c>
      <c r="AI124" s="1">
        <f t="shared" si="44"/>
        <v>1.0385600093206482</v>
      </c>
      <c r="AJ124" s="1">
        <f t="shared" si="45"/>
        <v>1.5578400139809723</v>
      </c>
      <c r="AK124" s="1">
        <f t="shared" si="46"/>
        <v>0.69237333954709879</v>
      </c>
      <c r="AL124" s="1">
        <f t="shared" si="47"/>
        <v>0.51928000466032409</v>
      </c>
      <c r="AM124" s="1">
        <f t="shared" si="48"/>
        <v>1.0385600093206482</v>
      </c>
      <c r="AN124" s="1">
        <f t="shared" si="49"/>
        <v>1.5578400139809723</v>
      </c>
      <c r="AO124" s="1">
        <f t="shared" si="50"/>
        <v>0.34618666977354939</v>
      </c>
    </row>
    <row r="125" spans="1:41" x14ac:dyDescent="0.2">
      <c r="A125">
        <v>123</v>
      </c>
      <c r="B125" t="s">
        <v>25</v>
      </c>
      <c r="C125">
        <v>0</v>
      </c>
      <c r="D125">
        <v>0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329.69499999999999</v>
      </c>
      <c r="S125">
        <v>25886.612000000001</v>
      </c>
      <c r="T125" s="1">
        <f t="shared" si="29"/>
        <v>0</v>
      </c>
      <c r="U125" s="1">
        <f t="shared" si="30"/>
        <v>0</v>
      </c>
      <c r="V125" s="1">
        <f t="shared" si="31"/>
        <v>0</v>
      </c>
      <c r="W125" s="1">
        <f t="shared" si="32"/>
        <v>2.5472240245266549</v>
      </c>
      <c r="X125" s="1">
        <f t="shared" si="33"/>
        <v>0</v>
      </c>
      <c r="Y125" s="1">
        <f t="shared" si="42"/>
        <v>0</v>
      </c>
      <c r="Z125" s="1">
        <f t="shared" si="43"/>
        <v>0</v>
      </c>
      <c r="AA125" s="1">
        <f t="shared" si="34"/>
        <v>1.2736120122633274</v>
      </c>
      <c r="AB125" s="1">
        <f t="shared" si="35"/>
        <v>0</v>
      </c>
      <c r="AC125" s="1">
        <f t="shared" si="36"/>
        <v>1.2736120122633274</v>
      </c>
      <c r="AD125" s="1">
        <f t="shared" si="37"/>
        <v>2.5472240245266549</v>
      </c>
      <c r="AE125" s="1">
        <f t="shared" si="38"/>
        <v>0</v>
      </c>
      <c r="AF125" s="1">
        <f t="shared" si="39"/>
        <v>0</v>
      </c>
      <c r="AG125" s="1">
        <f t="shared" si="40"/>
        <v>0</v>
      </c>
      <c r="AH125" s="1">
        <f t="shared" si="41"/>
        <v>0</v>
      </c>
      <c r="AI125" s="1">
        <f t="shared" si="44"/>
        <v>0</v>
      </c>
      <c r="AJ125" s="1">
        <f t="shared" si="45"/>
        <v>1.2736120122633274</v>
      </c>
      <c r="AK125" s="1">
        <f t="shared" si="46"/>
        <v>0</v>
      </c>
      <c r="AL125" s="1">
        <f t="shared" si="47"/>
        <v>0.63680600613166372</v>
      </c>
      <c r="AM125" s="1">
        <f t="shared" si="48"/>
        <v>1.2736120122633274</v>
      </c>
      <c r="AN125" s="1">
        <f t="shared" si="49"/>
        <v>1.2736120122633274</v>
      </c>
      <c r="AO125" s="1">
        <f t="shared" si="50"/>
        <v>0</v>
      </c>
    </row>
    <row r="126" spans="1:41" x14ac:dyDescent="0.2">
      <c r="A126">
        <v>124</v>
      </c>
      <c r="B126" t="s">
        <v>25</v>
      </c>
      <c r="C126">
        <v>1</v>
      </c>
      <c r="D126">
        <v>0</v>
      </c>
      <c r="E126">
        <v>2</v>
      </c>
      <c r="F126">
        <v>2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0</v>
      </c>
      <c r="R126">
        <v>76.97</v>
      </c>
      <c r="S126">
        <v>25886.612000000001</v>
      </c>
      <c r="T126" s="1">
        <f t="shared" si="29"/>
        <v>0.2973351630564865</v>
      </c>
      <c r="U126" s="1">
        <f t="shared" si="30"/>
        <v>0</v>
      </c>
      <c r="V126" s="1">
        <f t="shared" si="31"/>
        <v>0.59467032611297299</v>
      </c>
      <c r="W126" s="1">
        <f t="shared" si="32"/>
        <v>0.59467032611297299</v>
      </c>
      <c r="X126" s="1">
        <f t="shared" si="33"/>
        <v>0</v>
      </c>
      <c r="Y126" s="1">
        <f t="shared" si="42"/>
        <v>0</v>
      </c>
      <c r="Z126" s="1">
        <f t="shared" si="43"/>
        <v>0</v>
      </c>
      <c r="AA126" s="1">
        <f t="shared" si="34"/>
        <v>0.2973351630564865</v>
      </c>
      <c r="AB126" s="1">
        <f t="shared" si="35"/>
        <v>0</v>
      </c>
      <c r="AC126" s="1">
        <f t="shared" si="36"/>
        <v>0.2973351630564865</v>
      </c>
      <c r="AD126" s="1">
        <f t="shared" si="37"/>
        <v>0.2973351630564865</v>
      </c>
      <c r="AE126" s="1">
        <f t="shared" si="38"/>
        <v>0.2973351630564865</v>
      </c>
      <c r="AF126" s="1">
        <f t="shared" si="39"/>
        <v>0.2973351630564865</v>
      </c>
      <c r="AG126" s="1">
        <f t="shared" si="40"/>
        <v>0.2973351630564865</v>
      </c>
      <c r="AH126" s="1">
        <f t="shared" si="41"/>
        <v>0</v>
      </c>
      <c r="AI126" s="1">
        <f t="shared" si="44"/>
        <v>0.14866758152824325</v>
      </c>
      <c r="AJ126" s="1">
        <f t="shared" si="45"/>
        <v>0.59467032611297299</v>
      </c>
      <c r="AK126" s="1">
        <f t="shared" si="46"/>
        <v>0</v>
      </c>
      <c r="AL126" s="1">
        <f t="shared" si="47"/>
        <v>0.14866758152824325</v>
      </c>
      <c r="AM126" s="1">
        <f t="shared" si="48"/>
        <v>0.2973351630564865</v>
      </c>
      <c r="AN126" s="1">
        <f t="shared" si="49"/>
        <v>0.2973351630564865</v>
      </c>
      <c r="AO126" s="1">
        <f t="shared" si="50"/>
        <v>0.19822344203765765</v>
      </c>
    </row>
    <row r="127" spans="1:41" x14ac:dyDescent="0.2">
      <c r="A127">
        <v>125</v>
      </c>
      <c r="B127" t="s">
        <v>60</v>
      </c>
      <c r="C127">
        <v>2</v>
      </c>
      <c r="D127">
        <v>2</v>
      </c>
      <c r="E127">
        <v>2</v>
      </c>
      <c r="F127">
        <v>3</v>
      </c>
      <c r="G127">
        <v>2</v>
      </c>
      <c r="H127">
        <v>2</v>
      </c>
      <c r="I127">
        <v>0</v>
      </c>
      <c r="J127">
        <v>1</v>
      </c>
      <c r="K127">
        <v>0</v>
      </c>
      <c r="L127">
        <v>2</v>
      </c>
      <c r="M127">
        <v>1</v>
      </c>
      <c r="N127">
        <v>2</v>
      </c>
      <c r="O127">
        <v>1</v>
      </c>
      <c r="P127">
        <v>2</v>
      </c>
      <c r="Q127">
        <v>0</v>
      </c>
      <c r="R127">
        <v>174.67099999999999</v>
      </c>
      <c r="S127">
        <v>25886.612000000001</v>
      </c>
      <c r="T127" s="1">
        <f t="shared" si="29"/>
        <v>1.3495083868062763</v>
      </c>
      <c r="U127" s="1">
        <f t="shared" si="30"/>
        <v>1.3495083868062763</v>
      </c>
      <c r="V127" s="1">
        <f t="shared" si="31"/>
        <v>1.3495083868062763</v>
      </c>
      <c r="W127" s="1">
        <f t="shared" si="32"/>
        <v>2.0242625802094145</v>
      </c>
      <c r="X127" s="1">
        <f t="shared" si="33"/>
        <v>1.3495083868062763</v>
      </c>
      <c r="Y127" s="1">
        <f t="shared" si="42"/>
        <v>1.3495083868062763</v>
      </c>
      <c r="Z127" s="1">
        <f t="shared" si="43"/>
        <v>0</v>
      </c>
      <c r="AA127" s="1">
        <f t="shared" si="34"/>
        <v>0.67475419340313814</v>
      </c>
      <c r="AB127" s="1">
        <f t="shared" si="35"/>
        <v>0</v>
      </c>
      <c r="AC127" s="1">
        <f t="shared" si="36"/>
        <v>1.3495083868062763</v>
      </c>
      <c r="AD127" s="1">
        <f t="shared" si="37"/>
        <v>0.67475419340313814</v>
      </c>
      <c r="AE127" s="1">
        <f t="shared" si="38"/>
        <v>1.3495083868062763</v>
      </c>
      <c r="AF127" s="1">
        <f t="shared" si="39"/>
        <v>0.67475419340313814</v>
      </c>
      <c r="AG127" s="1">
        <f t="shared" si="40"/>
        <v>1.3495083868062763</v>
      </c>
      <c r="AH127" s="1">
        <f t="shared" si="41"/>
        <v>0</v>
      </c>
      <c r="AI127" s="1">
        <f t="shared" si="44"/>
        <v>1.3495083868062763</v>
      </c>
      <c r="AJ127" s="1">
        <f t="shared" si="45"/>
        <v>1.6868854835078455</v>
      </c>
      <c r="AK127" s="1">
        <f t="shared" si="46"/>
        <v>0.89967225787085081</v>
      </c>
      <c r="AL127" s="1">
        <f t="shared" si="47"/>
        <v>0.33737709670156907</v>
      </c>
      <c r="AM127" s="1">
        <f t="shared" si="48"/>
        <v>1.3495083868062763</v>
      </c>
      <c r="AN127" s="1">
        <f t="shared" si="49"/>
        <v>1.0121312901047073</v>
      </c>
      <c r="AO127" s="1">
        <f t="shared" si="50"/>
        <v>0.67475419340313814</v>
      </c>
    </row>
    <row r="128" spans="1:41" x14ac:dyDescent="0.2">
      <c r="A128">
        <v>126</v>
      </c>
      <c r="B128" t="s">
        <v>60</v>
      </c>
      <c r="C128">
        <v>3</v>
      </c>
      <c r="D128">
        <v>3</v>
      </c>
      <c r="E128">
        <v>2</v>
      </c>
      <c r="F128">
        <v>3</v>
      </c>
      <c r="G128">
        <v>2</v>
      </c>
      <c r="H128">
        <v>2</v>
      </c>
      <c r="I128">
        <v>0</v>
      </c>
      <c r="J128">
        <v>1</v>
      </c>
      <c r="K128">
        <v>0</v>
      </c>
      <c r="L128">
        <v>2</v>
      </c>
      <c r="M128">
        <v>1</v>
      </c>
      <c r="N128">
        <v>2</v>
      </c>
      <c r="O128">
        <v>1</v>
      </c>
      <c r="P128">
        <v>2</v>
      </c>
      <c r="Q128">
        <v>0</v>
      </c>
      <c r="R128">
        <v>30.486999999999998</v>
      </c>
      <c r="S128">
        <v>25886.612000000001</v>
      </c>
      <c r="T128" s="1">
        <f t="shared" si="29"/>
        <v>0.35331390604533336</v>
      </c>
      <c r="U128" s="1">
        <f t="shared" si="30"/>
        <v>0.35331390604533336</v>
      </c>
      <c r="V128" s="1">
        <f t="shared" si="31"/>
        <v>0.23554260403022223</v>
      </c>
      <c r="W128" s="1">
        <f t="shared" si="32"/>
        <v>0.35331390604533336</v>
      </c>
      <c r="X128" s="1">
        <f t="shared" si="33"/>
        <v>0.23554260403022223</v>
      </c>
      <c r="Y128" s="1">
        <f t="shared" si="42"/>
        <v>0.23554260403022223</v>
      </c>
      <c r="Z128" s="1">
        <f t="shared" si="43"/>
        <v>0</v>
      </c>
      <c r="AA128" s="1">
        <f t="shared" si="34"/>
        <v>0.11777130201511112</v>
      </c>
      <c r="AB128" s="1">
        <f t="shared" si="35"/>
        <v>0</v>
      </c>
      <c r="AC128" s="1">
        <f t="shared" si="36"/>
        <v>0.23554260403022223</v>
      </c>
      <c r="AD128" s="1">
        <f t="shared" si="37"/>
        <v>0.11777130201511112</v>
      </c>
      <c r="AE128" s="1">
        <f t="shared" si="38"/>
        <v>0.23554260403022223</v>
      </c>
      <c r="AF128" s="1">
        <f t="shared" si="39"/>
        <v>0.11777130201511112</v>
      </c>
      <c r="AG128" s="1">
        <f t="shared" si="40"/>
        <v>0.23554260403022223</v>
      </c>
      <c r="AH128" s="1">
        <f t="shared" si="41"/>
        <v>0</v>
      </c>
      <c r="AI128" s="1">
        <f t="shared" si="44"/>
        <v>0.35331390604533336</v>
      </c>
      <c r="AJ128" s="1">
        <f t="shared" si="45"/>
        <v>0.29442825503777781</v>
      </c>
      <c r="AK128" s="1">
        <f t="shared" si="46"/>
        <v>0.15702840268681481</v>
      </c>
      <c r="AL128" s="1">
        <f t="shared" si="47"/>
        <v>5.8885651007555558E-2</v>
      </c>
      <c r="AM128" s="1">
        <f t="shared" si="48"/>
        <v>0.23554260403022223</v>
      </c>
      <c r="AN128" s="1">
        <f t="shared" si="49"/>
        <v>0.17665695302266668</v>
      </c>
      <c r="AO128" s="1">
        <f t="shared" si="50"/>
        <v>0.11777130201511112</v>
      </c>
    </row>
    <row r="129" spans="1:41" x14ac:dyDescent="0.2">
      <c r="A129">
        <v>127</v>
      </c>
      <c r="B129" t="s">
        <v>60</v>
      </c>
      <c r="C129">
        <v>2</v>
      </c>
      <c r="D129">
        <v>2</v>
      </c>
      <c r="E129">
        <v>3</v>
      </c>
      <c r="F129">
        <v>3</v>
      </c>
      <c r="G129">
        <v>3</v>
      </c>
      <c r="H129">
        <v>2</v>
      </c>
      <c r="I129">
        <v>2</v>
      </c>
      <c r="J129">
        <v>1</v>
      </c>
      <c r="K129">
        <v>0</v>
      </c>
      <c r="L129">
        <v>2</v>
      </c>
      <c r="M129">
        <v>1</v>
      </c>
      <c r="N129">
        <v>2</v>
      </c>
      <c r="O129">
        <v>1</v>
      </c>
      <c r="P129">
        <v>2</v>
      </c>
      <c r="Q129">
        <v>0</v>
      </c>
      <c r="R129">
        <v>188.369</v>
      </c>
      <c r="S129">
        <v>25886.612000000001</v>
      </c>
      <c r="T129" s="1">
        <f t="shared" si="29"/>
        <v>1.4553391536907185</v>
      </c>
      <c r="U129" s="1">
        <f t="shared" si="30"/>
        <v>1.4553391536907185</v>
      </c>
      <c r="V129" s="1">
        <f t="shared" si="31"/>
        <v>2.1830087305360779</v>
      </c>
      <c r="W129" s="1">
        <f t="shared" si="32"/>
        <v>2.1830087305360779</v>
      </c>
      <c r="X129" s="1">
        <f t="shared" si="33"/>
        <v>2.1830087305360779</v>
      </c>
      <c r="Y129" s="1">
        <f t="shared" si="42"/>
        <v>1.4553391536907185</v>
      </c>
      <c r="Z129" s="1">
        <f t="shared" si="43"/>
        <v>1.4553391536907185</v>
      </c>
      <c r="AA129" s="1">
        <f t="shared" si="34"/>
        <v>0.72766957684535927</v>
      </c>
      <c r="AB129" s="1">
        <f t="shared" si="35"/>
        <v>0</v>
      </c>
      <c r="AC129" s="1">
        <f t="shared" si="36"/>
        <v>1.4553391536907185</v>
      </c>
      <c r="AD129" s="1">
        <f t="shared" si="37"/>
        <v>0.72766957684535927</v>
      </c>
      <c r="AE129" s="1">
        <f t="shared" si="38"/>
        <v>1.4553391536907185</v>
      </c>
      <c r="AF129" s="1">
        <f t="shared" si="39"/>
        <v>0.72766957684535927</v>
      </c>
      <c r="AG129" s="1">
        <f t="shared" si="40"/>
        <v>1.4553391536907185</v>
      </c>
      <c r="AH129" s="1">
        <f t="shared" si="41"/>
        <v>0</v>
      </c>
      <c r="AI129" s="1">
        <f t="shared" si="44"/>
        <v>1.4553391536907185</v>
      </c>
      <c r="AJ129" s="1">
        <f t="shared" si="45"/>
        <v>2.1830087305360779</v>
      </c>
      <c r="AK129" s="1">
        <f t="shared" si="46"/>
        <v>1.6978956793058382</v>
      </c>
      <c r="AL129" s="1">
        <f t="shared" si="47"/>
        <v>0.36383478842267963</v>
      </c>
      <c r="AM129" s="1">
        <f t="shared" si="48"/>
        <v>1.4553391536907185</v>
      </c>
      <c r="AN129" s="1">
        <f t="shared" si="49"/>
        <v>1.091504365268039</v>
      </c>
      <c r="AO129" s="1">
        <f t="shared" si="50"/>
        <v>0.72766957684535927</v>
      </c>
    </row>
    <row r="130" spans="1:41" x14ac:dyDescent="0.2">
      <c r="A130">
        <v>128</v>
      </c>
      <c r="B130" t="s">
        <v>61</v>
      </c>
      <c r="C130">
        <v>2</v>
      </c>
      <c r="D130">
        <v>2</v>
      </c>
      <c r="E130">
        <v>3</v>
      </c>
      <c r="F130">
        <v>2</v>
      </c>
      <c r="G130">
        <v>3</v>
      </c>
      <c r="H130">
        <v>3</v>
      </c>
      <c r="I130">
        <v>2</v>
      </c>
      <c r="J130">
        <v>1</v>
      </c>
      <c r="K130">
        <v>1</v>
      </c>
      <c r="L130">
        <v>1</v>
      </c>
      <c r="M130">
        <v>2</v>
      </c>
      <c r="N130">
        <v>2</v>
      </c>
      <c r="O130">
        <v>2</v>
      </c>
      <c r="P130">
        <v>1</v>
      </c>
      <c r="Q130">
        <v>0</v>
      </c>
      <c r="R130">
        <v>141.364</v>
      </c>
      <c r="S130">
        <v>25886.612000000001</v>
      </c>
      <c r="T130" s="1">
        <f t="shared" si="29"/>
        <v>1.0921784588883241</v>
      </c>
      <c r="U130" s="1">
        <f t="shared" si="30"/>
        <v>1.0921784588883241</v>
      </c>
      <c r="V130" s="1">
        <f t="shared" si="31"/>
        <v>1.638267688332486</v>
      </c>
      <c r="W130" s="1">
        <f t="shared" si="32"/>
        <v>1.0921784588883241</v>
      </c>
      <c r="X130" s="1">
        <f t="shared" si="33"/>
        <v>1.638267688332486</v>
      </c>
      <c r="Y130" s="1">
        <f t="shared" si="42"/>
        <v>1.638267688332486</v>
      </c>
      <c r="Z130" s="1">
        <f t="shared" si="43"/>
        <v>1.0921784588883241</v>
      </c>
      <c r="AA130" s="1">
        <f t="shared" si="34"/>
        <v>0.54608922944416205</v>
      </c>
      <c r="AB130" s="1">
        <f t="shared" si="35"/>
        <v>0.54608922944416205</v>
      </c>
      <c r="AC130" s="1">
        <f t="shared" si="36"/>
        <v>0.54608922944416205</v>
      </c>
      <c r="AD130" s="1">
        <f t="shared" si="37"/>
        <v>1.0921784588883241</v>
      </c>
      <c r="AE130" s="1">
        <f t="shared" si="38"/>
        <v>1.0921784588883241</v>
      </c>
      <c r="AF130" s="1">
        <f t="shared" si="39"/>
        <v>1.0921784588883241</v>
      </c>
      <c r="AG130" s="1">
        <f t="shared" si="40"/>
        <v>0.54608922944416205</v>
      </c>
      <c r="AH130" s="1">
        <f t="shared" si="41"/>
        <v>0</v>
      </c>
      <c r="AI130" s="1">
        <f t="shared" si="44"/>
        <v>1.0921784588883241</v>
      </c>
      <c r="AJ130" s="1">
        <f t="shared" si="45"/>
        <v>1.3652230736104052</v>
      </c>
      <c r="AK130" s="1">
        <f t="shared" si="46"/>
        <v>1.4562379451844321</v>
      </c>
      <c r="AL130" s="1">
        <f t="shared" si="47"/>
        <v>0.54608922944416205</v>
      </c>
      <c r="AM130" s="1">
        <f t="shared" si="48"/>
        <v>0.54608922944416205</v>
      </c>
      <c r="AN130" s="1">
        <f t="shared" si="49"/>
        <v>1.0921784588883241</v>
      </c>
      <c r="AO130" s="1">
        <f t="shared" si="50"/>
        <v>0.54608922944416205</v>
      </c>
    </row>
    <row r="131" spans="1:41" x14ac:dyDescent="0.2">
      <c r="A131">
        <v>129</v>
      </c>
      <c r="B131" t="s">
        <v>62</v>
      </c>
      <c r="C131">
        <v>2</v>
      </c>
      <c r="D131">
        <v>1</v>
      </c>
      <c r="E131">
        <v>3</v>
      </c>
      <c r="F131">
        <v>2</v>
      </c>
      <c r="G131">
        <v>1</v>
      </c>
      <c r="H131">
        <v>2</v>
      </c>
      <c r="I131">
        <v>1</v>
      </c>
      <c r="J131">
        <v>2</v>
      </c>
      <c r="K131">
        <v>2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86.009</v>
      </c>
      <c r="S131">
        <v>25886.612000000001</v>
      </c>
      <c r="T131" s="1">
        <f t="shared" ref="T131:T181" si="51">(((R131*100)/S131)*C131)</f>
        <v>0.66450565257438854</v>
      </c>
      <c r="U131" s="1">
        <f t="shared" ref="U131:U181" si="52">(((R131*100)/S131)*D131)</f>
        <v>0.33225282628719427</v>
      </c>
      <c r="V131" s="1">
        <f t="shared" ref="V131:V181" si="53">(((R131*100)/S131)*E131)</f>
        <v>0.99675847886158286</v>
      </c>
      <c r="W131" s="1">
        <f t="shared" ref="W131:W181" si="54">(((R131*100)/S131)*F131)</f>
        <v>0.66450565257438854</v>
      </c>
      <c r="X131" s="1">
        <f t="shared" ref="X131:X181" si="55">(((R131*100)/S131)*G131)</f>
        <v>0.33225282628719427</v>
      </c>
      <c r="Y131" s="1">
        <f t="shared" si="42"/>
        <v>0.66450565257438854</v>
      </c>
      <c r="Z131" s="1">
        <f t="shared" si="43"/>
        <v>0.33225282628719427</v>
      </c>
      <c r="AA131" s="1">
        <f t="shared" ref="AA131:AA181" si="56">(((R131*100)/S131)*J131)</f>
        <v>0.66450565257438854</v>
      </c>
      <c r="AB131" s="1">
        <f t="shared" ref="AB131:AB181" si="57">(((R131*100)/S131)*K131)</f>
        <v>0.66450565257438854</v>
      </c>
      <c r="AC131" s="1">
        <f t="shared" ref="AC131:AC181" si="58">(((R131*100)/S131)*L131)</f>
        <v>0.33225282628719427</v>
      </c>
      <c r="AD131" s="1">
        <f t="shared" ref="AD131:AD181" si="59">(((R131*100)/S131)*M131)</f>
        <v>0.33225282628719427</v>
      </c>
      <c r="AE131" s="1">
        <f t="shared" ref="AE131:AE181" si="60">(((R131*100)/S131)*N131)</f>
        <v>0</v>
      </c>
      <c r="AF131" s="1">
        <f t="shared" ref="AF131:AF181" si="61">(((R131*100)/S131)*O131)</f>
        <v>0</v>
      </c>
      <c r="AG131" s="1">
        <f t="shared" ref="AG131:AG181" si="62">(((R131*100)/S131)*P131)</f>
        <v>0</v>
      </c>
      <c r="AH131" s="1">
        <f t="shared" ref="AH131:AH181" si="63">(((R131*100)/S131)*Q131)</f>
        <v>0.33225282628719427</v>
      </c>
      <c r="AI131" s="1">
        <f t="shared" si="44"/>
        <v>0.49837923943079143</v>
      </c>
      <c r="AJ131" s="1">
        <f t="shared" si="45"/>
        <v>0.83063206571798576</v>
      </c>
      <c r="AK131" s="1">
        <f t="shared" si="46"/>
        <v>0.44300376838292571</v>
      </c>
      <c r="AL131" s="1">
        <f t="shared" si="47"/>
        <v>0.66450565257438854</v>
      </c>
      <c r="AM131" s="1">
        <f t="shared" si="48"/>
        <v>0.33225282628719427</v>
      </c>
      <c r="AN131" s="1">
        <f t="shared" si="49"/>
        <v>0.16612641314359713</v>
      </c>
      <c r="AO131" s="1">
        <f t="shared" si="50"/>
        <v>0.11075094209573143</v>
      </c>
    </row>
    <row r="132" spans="1:41" x14ac:dyDescent="0.2">
      <c r="A132">
        <v>130</v>
      </c>
      <c r="B132" t="s">
        <v>61</v>
      </c>
      <c r="C132">
        <v>2</v>
      </c>
      <c r="D132">
        <v>2</v>
      </c>
      <c r="E132">
        <v>3</v>
      </c>
      <c r="F132">
        <v>2</v>
      </c>
      <c r="G132">
        <v>3</v>
      </c>
      <c r="H132">
        <v>3</v>
      </c>
      <c r="I132">
        <v>3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49.597000000000001</v>
      </c>
      <c r="S132">
        <v>25886.612000000001</v>
      </c>
      <c r="T132" s="1">
        <f t="shared" si="51"/>
        <v>0.38318649037579733</v>
      </c>
      <c r="U132" s="1">
        <f t="shared" si="52"/>
        <v>0.38318649037579733</v>
      </c>
      <c r="V132" s="1">
        <f t="shared" si="53"/>
        <v>0.57477973556369599</v>
      </c>
      <c r="W132" s="1">
        <f t="shared" si="54"/>
        <v>0.38318649037579733</v>
      </c>
      <c r="X132" s="1">
        <f t="shared" si="55"/>
        <v>0.57477973556369599</v>
      </c>
      <c r="Y132" s="1">
        <f t="shared" ref="Y132:Y181" si="64">(((R132*100)/S132)*H132)</f>
        <v>0.57477973556369599</v>
      </c>
      <c r="Z132" s="1">
        <f t="shared" ref="Z132:Z181" si="65">(((R132*100)/S132)*I132)</f>
        <v>0.57477973556369599</v>
      </c>
      <c r="AA132" s="1">
        <f t="shared" si="56"/>
        <v>0.19159324518789866</v>
      </c>
      <c r="AB132" s="1">
        <f t="shared" si="57"/>
        <v>0.19159324518789866</v>
      </c>
      <c r="AC132" s="1">
        <f t="shared" si="58"/>
        <v>0.19159324518789866</v>
      </c>
      <c r="AD132" s="1">
        <f t="shared" si="59"/>
        <v>0.19159324518789866</v>
      </c>
      <c r="AE132" s="1">
        <f t="shared" si="60"/>
        <v>0.19159324518789866</v>
      </c>
      <c r="AF132" s="1">
        <f t="shared" si="61"/>
        <v>0.19159324518789866</v>
      </c>
      <c r="AG132" s="1">
        <f t="shared" si="62"/>
        <v>0.19159324518789866</v>
      </c>
      <c r="AH132" s="1">
        <f t="shared" si="63"/>
        <v>0</v>
      </c>
      <c r="AI132" s="1">
        <f t="shared" si="44"/>
        <v>0.38318649037579733</v>
      </c>
      <c r="AJ132" s="1">
        <f t="shared" si="45"/>
        <v>0.47898311296974666</v>
      </c>
      <c r="AK132" s="1">
        <f t="shared" si="46"/>
        <v>0.57477973556369599</v>
      </c>
      <c r="AL132" s="1">
        <f t="shared" si="47"/>
        <v>0.19159324518789866</v>
      </c>
      <c r="AM132" s="1">
        <f t="shared" si="48"/>
        <v>0.19159324518789866</v>
      </c>
      <c r="AN132" s="1">
        <f t="shared" si="49"/>
        <v>0.19159324518789866</v>
      </c>
      <c r="AO132" s="1">
        <f t="shared" si="50"/>
        <v>0.12772883012526579</v>
      </c>
    </row>
    <row r="133" spans="1:41" x14ac:dyDescent="0.2">
      <c r="A133">
        <v>131</v>
      </c>
      <c r="B133" t="s">
        <v>57</v>
      </c>
      <c r="C133">
        <v>2</v>
      </c>
      <c r="D133">
        <v>2</v>
      </c>
      <c r="E133">
        <v>3</v>
      </c>
      <c r="F133">
        <v>3</v>
      </c>
      <c r="G133">
        <v>3</v>
      </c>
      <c r="H133">
        <v>3</v>
      </c>
      <c r="I133">
        <v>3</v>
      </c>
      <c r="J133">
        <v>1</v>
      </c>
      <c r="K133">
        <v>2</v>
      </c>
      <c r="L133">
        <v>2</v>
      </c>
      <c r="M133">
        <v>1</v>
      </c>
      <c r="N133">
        <v>2</v>
      </c>
      <c r="O133">
        <v>2</v>
      </c>
      <c r="P133">
        <v>1</v>
      </c>
      <c r="Q133">
        <v>1</v>
      </c>
      <c r="R133">
        <v>38.869999999999997</v>
      </c>
      <c r="S133">
        <v>25886.612000000001</v>
      </c>
      <c r="T133" s="1">
        <f t="shared" si="51"/>
        <v>0.30030967358725813</v>
      </c>
      <c r="U133" s="1">
        <f t="shared" si="52"/>
        <v>0.30030967358725813</v>
      </c>
      <c r="V133" s="1">
        <f t="shared" si="53"/>
        <v>0.4504645103808872</v>
      </c>
      <c r="W133" s="1">
        <f t="shared" si="54"/>
        <v>0.4504645103808872</v>
      </c>
      <c r="X133" s="1">
        <f t="shared" si="55"/>
        <v>0.4504645103808872</v>
      </c>
      <c r="Y133" s="1">
        <f t="shared" si="64"/>
        <v>0.4504645103808872</v>
      </c>
      <c r="Z133" s="1">
        <f t="shared" si="65"/>
        <v>0.4504645103808872</v>
      </c>
      <c r="AA133" s="1">
        <f t="shared" si="56"/>
        <v>0.15015483679362907</v>
      </c>
      <c r="AB133" s="1">
        <f t="shared" si="57"/>
        <v>0.30030967358725813</v>
      </c>
      <c r="AC133" s="1">
        <f t="shared" si="58"/>
        <v>0.30030967358725813</v>
      </c>
      <c r="AD133" s="1">
        <f t="shared" si="59"/>
        <v>0.15015483679362907</v>
      </c>
      <c r="AE133" s="1">
        <f t="shared" si="60"/>
        <v>0.30030967358725813</v>
      </c>
      <c r="AF133" s="1">
        <f t="shared" si="61"/>
        <v>0.30030967358725813</v>
      </c>
      <c r="AG133" s="1">
        <f t="shared" si="62"/>
        <v>0.15015483679362907</v>
      </c>
      <c r="AH133" s="1">
        <f t="shared" si="63"/>
        <v>0.15015483679362907</v>
      </c>
      <c r="AI133" s="1">
        <f t="shared" si="44"/>
        <v>0.30030967358725813</v>
      </c>
      <c r="AJ133" s="1">
        <f t="shared" si="45"/>
        <v>0.4504645103808872</v>
      </c>
      <c r="AK133" s="1">
        <f t="shared" si="46"/>
        <v>0.45046451038088725</v>
      </c>
      <c r="AL133" s="1">
        <f t="shared" si="47"/>
        <v>0.2252322551904436</v>
      </c>
      <c r="AM133" s="1">
        <f t="shared" si="48"/>
        <v>0.30030967358725813</v>
      </c>
      <c r="AN133" s="1">
        <f t="shared" si="49"/>
        <v>0.2252322551904436</v>
      </c>
      <c r="AO133" s="1">
        <f t="shared" si="50"/>
        <v>0.20020644905817209</v>
      </c>
    </row>
    <row r="134" spans="1:41" x14ac:dyDescent="0.2">
      <c r="A134">
        <v>132</v>
      </c>
      <c r="B134" t="s">
        <v>61</v>
      </c>
      <c r="C134">
        <v>2</v>
      </c>
      <c r="D134">
        <v>2</v>
      </c>
      <c r="E134">
        <v>3</v>
      </c>
      <c r="F134">
        <v>2</v>
      </c>
      <c r="G134">
        <v>3</v>
      </c>
      <c r="H134">
        <v>3</v>
      </c>
      <c r="I134">
        <v>3</v>
      </c>
      <c r="J134">
        <v>1</v>
      </c>
      <c r="K134">
        <v>1</v>
      </c>
      <c r="L134">
        <v>1</v>
      </c>
      <c r="M134">
        <v>1</v>
      </c>
      <c r="N134">
        <v>2</v>
      </c>
      <c r="O134">
        <v>2</v>
      </c>
      <c r="P134">
        <v>2</v>
      </c>
      <c r="Q134">
        <v>0</v>
      </c>
      <c r="R134">
        <v>222.34299999999999</v>
      </c>
      <c r="S134">
        <v>25886.612000000001</v>
      </c>
      <c r="T134" s="1">
        <f t="shared" si="51"/>
        <v>1.7178223245282154</v>
      </c>
      <c r="U134" s="1">
        <f t="shared" si="52"/>
        <v>1.7178223245282154</v>
      </c>
      <c r="V134" s="1">
        <f t="shared" si="53"/>
        <v>2.5767334867923228</v>
      </c>
      <c r="W134" s="1">
        <f t="shared" si="54"/>
        <v>1.7178223245282154</v>
      </c>
      <c r="X134" s="1">
        <f t="shared" si="55"/>
        <v>2.5767334867923228</v>
      </c>
      <c r="Y134" s="1">
        <f t="shared" si="64"/>
        <v>2.5767334867923228</v>
      </c>
      <c r="Z134" s="1">
        <f t="shared" si="65"/>
        <v>2.5767334867923228</v>
      </c>
      <c r="AA134" s="1">
        <f t="shared" si="56"/>
        <v>0.85891116226410769</v>
      </c>
      <c r="AB134" s="1">
        <f t="shared" si="57"/>
        <v>0.85891116226410769</v>
      </c>
      <c r="AC134" s="1">
        <f t="shared" si="58"/>
        <v>0.85891116226410769</v>
      </c>
      <c r="AD134" s="1">
        <f t="shared" si="59"/>
        <v>0.85891116226410769</v>
      </c>
      <c r="AE134" s="1">
        <f t="shared" si="60"/>
        <v>1.7178223245282154</v>
      </c>
      <c r="AF134" s="1">
        <f t="shared" si="61"/>
        <v>1.7178223245282154</v>
      </c>
      <c r="AG134" s="1">
        <f t="shared" si="62"/>
        <v>1.7178223245282154</v>
      </c>
      <c r="AH134" s="1">
        <f t="shared" si="63"/>
        <v>0</v>
      </c>
      <c r="AI134" s="1">
        <f t="shared" si="44"/>
        <v>1.7178223245282154</v>
      </c>
      <c r="AJ134" s="1">
        <f t="shared" si="45"/>
        <v>2.1472779056602693</v>
      </c>
      <c r="AK134" s="1">
        <f t="shared" si="46"/>
        <v>2.5767334867923228</v>
      </c>
      <c r="AL134" s="1">
        <f t="shared" si="47"/>
        <v>0.85891116226410769</v>
      </c>
      <c r="AM134" s="1">
        <f t="shared" si="48"/>
        <v>0.85891116226410769</v>
      </c>
      <c r="AN134" s="1">
        <f t="shared" si="49"/>
        <v>1.2883667433961614</v>
      </c>
      <c r="AO134" s="1">
        <f t="shared" si="50"/>
        <v>1.1452148830188102</v>
      </c>
    </row>
    <row r="135" spans="1:41" x14ac:dyDescent="0.2">
      <c r="A135">
        <v>133</v>
      </c>
      <c r="B135" t="s">
        <v>25</v>
      </c>
      <c r="C135">
        <v>1</v>
      </c>
      <c r="D135">
        <v>1</v>
      </c>
      <c r="E135">
        <v>2</v>
      </c>
      <c r="F135">
        <v>2</v>
      </c>
      <c r="G135">
        <v>2</v>
      </c>
      <c r="H135">
        <v>1</v>
      </c>
      <c r="I135">
        <v>1</v>
      </c>
      <c r="J135">
        <v>1</v>
      </c>
      <c r="K135">
        <v>0</v>
      </c>
      <c r="L135">
        <v>1</v>
      </c>
      <c r="M135">
        <v>1</v>
      </c>
      <c r="N135">
        <v>1</v>
      </c>
      <c r="O135">
        <v>0</v>
      </c>
      <c r="P135">
        <v>1</v>
      </c>
      <c r="Q135">
        <v>0</v>
      </c>
      <c r="R135">
        <v>78.537000000000006</v>
      </c>
      <c r="S135">
        <v>25886.612000000001</v>
      </c>
      <c r="T135" s="1">
        <f t="shared" si="51"/>
        <v>0.30338848513664129</v>
      </c>
      <c r="U135" s="1">
        <f t="shared" si="52"/>
        <v>0.30338848513664129</v>
      </c>
      <c r="V135" s="1">
        <f t="shared" si="53"/>
        <v>0.60677697027328259</v>
      </c>
      <c r="W135" s="1">
        <f t="shared" si="54"/>
        <v>0.60677697027328259</v>
      </c>
      <c r="X135" s="1">
        <f t="shared" si="55"/>
        <v>0.60677697027328259</v>
      </c>
      <c r="Y135" s="1">
        <f t="shared" si="64"/>
        <v>0.30338848513664129</v>
      </c>
      <c r="Z135" s="1">
        <f t="shared" si="65"/>
        <v>0.30338848513664129</v>
      </c>
      <c r="AA135" s="1">
        <f t="shared" si="56"/>
        <v>0.30338848513664129</v>
      </c>
      <c r="AB135" s="1">
        <f t="shared" si="57"/>
        <v>0</v>
      </c>
      <c r="AC135" s="1">
        <f t="shared" si="58"/>
        <v>0.30338848513664129</v>
      </c>
      <c r="AD135" s="1">
        <f t="shared" si="59"/>
        <v>0.30338848513664129</v>
      </c>
      <c r="AE135" s="1">
        <f t="shared" si="60"/>
        <v>0.30338848513664129</v>
      </c>
      <c r="AF135" s="1">
        <f t="shared" si="61"/>
        <v>0</v>
      </c>
      <c r="AG135" s="1">
        <f t="shared" si="62"/>
        <v>0.30338848513664129</v>
      </c>
      <c r="AH135" s="1">
        <f t="shared" si="63"/>
        <v>0</v>
      </c>
      <c r="AI135" s="1">
        <f t="shared" ref="AI135:AI181" si="66">SUM(T135:U135)/2</f>
        <v>0.30338848513664129</v>
      </c>
      <c r="AJ135" s="1">
        <f t="shared" ref="AJ135:AJ181" si="67">SUM(V135:W135)/2</f>
        <v>0.60677697027328259</v>
      </c>
      <c r="AK135" s="1">
        <f t="shared" ref="AK135:AK181" si="68">SUM(X135:Z135)/3</f>
        <v>0.40451798018218837</v>
      </c>
      <c r="AL135" s="1">
        <f t="shared" ref="AL135:AL181" si="69">SUM(AA135:AB135)/2</f>
        <v>0.15169424256832065</v>
      </c>
      <c r="AM135" s="1">
        <f t="shared" ref="AM135:AM181" si="70">(SUM(AC135)/1)</f>
        <v>0.30338848513664129</v>
      </c>
      <c r="AN135" s="1">
        <f t="shared" ref="AN135:AN181" si="71">SUM(AD135:AE135)/2</f>
        <v>0.30338848513664129</v>
      </c>
      <c r="AO135" s="1">
        <f t="shared" ref="AO135:AO181" si="72">SUM(AF135:AH135)/3</f>
        <v>0.10112949504554709</v>
      </c>
    </row>
    <row r="136" spans="1:41" x14ac:dyDescent="0.2">
      <c r="A136">
        <v>134</v>
      </c>
      <c r="B136" t="s">
        <v>57</v>
      </c>
      <c r="C136">
        <v>2</v>
      </c>
      <c r="D136">
        <v>3</v>
      </c>
      <c r="E136">
        <v>2</v>
      </c>
      <c r="F136">
        <v>3</v>
      </c>
      <c r="G136">
        <v>3</v>
      </c>
      <c r="H136">
        <v>3</v>
      </c>
      <c r="I136">
        <v>3</v>
      </c>
      <c r="J136">
        <v>1</v>
      </c>
      <c r="K136">
        <v>2</v>
      </c>
      <c r="L136">
        <v>2</v>
      </c>
      <c r="M136">
        <v>1</v>
      </c>
      <c r="N136">
        <v>1</v>
      </c>
      <c r="O136">
        <v>2</v>
      </c>
      <c r="P136">
        <v>1</v>
      </c>
      <c r="Q136">
        <v>0</v>
      </c>
      <c r="R136">
        <v>226.589</v>
      </c>
      <c r="S136">
        <v>25886.612000000001</v>
      </c>
      <c r="T136" s="1">
        <f t="shared" si="51"/>
        <v>1.7506269263818688</v>
      </c>
      <c r="U136" s="1">
        <f t="shared" si="52"/>
        <v>2.6259403895728033</v>
      </c>
      <c r="V136" s="1">
        <f t="shared" si="53"/>
        <v>1.7506269263818688</v>
      </c>
      <c r="W136" s="1">
        <f t="shared" si="54"/>
        <v>2.6259403895728033</v>
      </c>
      <c r="X136" s="1">
        <f t="shared" si="55"/>
        <v>2.6259403895728033</v>
      </c>
      <c r="Y136" s="1">
        <f t="shared" si="64"/>
        <v>2.6259403895728033</v>
      </c>
      <c r="Z136" s="1">
        <f t="shared" si="65"/>
        <v>2.6259403895728033</v>
      </c>
      <c r="AA136" s="1">
        <f t="shared" si="56"/>
        <v>0.87531346319093439</v>
      </c>
      <c r="AB136" s="1">
        <f t="shared" si="57"/>
        <v>1.7506269263818688</v>
      </c>
      <c r="AC136" s="1">
        <f t="shared" si="58"/>
        <v>1.7506269263818688</v>
      </c>
      <c r="AD136" s="1">
        <f t="shared" si="59"/>
        <v>0.87531346319093439</v>
      </c>
      <c r="AE136" s="1">
        <f t="shared" si="60"/>
        <v>0.87531346319093439</v>
      </c>
      <c r="AF136" s="1">
        <f t="shared" si="61"/>
        <v>1.7506269263818688</v>
      </c>
      <c r="AG136" s="1">
        <f t="shared" si="62"/>
        <v>0.87531346319093439</v>
      </c>
      <c r="AH136" s="1">
        <f t="shared" si="63"/>
        <v>0</v>
      </c>
      <c r="AI136" s="1">
        <f t="shared" si="66"/>
        <v>2.1882836579773359</v>
      </c>
      <c r="AJ136" s="1">
        <f t="shared" si="67"/>
        <v>2.1882836579773359</v>
      </c>
      <c r="AK136" s="1">
        <f t="shared" si="68"/>
        <v>2.6259403895728033</v>
      </c>
      <c r="AL136" s="1">
        <f t="shared" si="69"/>
        <v>1.3129701947864016</v>
      </c>
      <c r="AM136" s="1">
        <f t="shared" si="70"/>
        <v>1.7506269263818688</v>
      </c>
      <c r="AN136" s="1">
        <f t="shared" si="71"/>
        <v>0.87531346319093439</v>
      </c>
      <c r="AO136" s="1">
        <f t="shared" si="72"/>
        <v>0.87531346319093439</v>
      </c>
    </row>
    <row r="137" spans="1:41" x14ac:dyDescent="0.2">
      <c r="A137">
        <v>135</v>
      </c>
      <c r="B137" t="s">
        <v>63</v>
      </c>
      <c r="C137">
        <v>2</v>
      </c>
      <c r="D137">
        <v>2</v>
      </c>
      <c r="E137">
        <v>3</v>
      </c>
      <c r="F137">
        <v>3</v>
      </c>
      <c r="G137">
        <v>3</v>
      </c>
      <c r="H137">
        <v>3</v>
      </c>
      <c r="I137">
        <v>2</v>
      </c>
      <c r="J137">
        <v>1</v>
      </c>
      <c r="K137">
        <v>2</v>
      </c>
      <c r="L137">
        <v>2</v>
      </c>
      <c r="M137">
        <v>3</v>
      </c>
      <c r="N137">
        <v>1</v>
      </c>
      <c r="O137">
        <v>1</v>
      </c>
      <c r="P137">
        <v>2</v>
      </c>
      <c r="Q137">
        <v>1</v>
      </c>
      <c r="R137">
        <v>53.447000000000003</v>
      </c>
      <c r="S137">
        <v>25886.612000000001</v>
      </c>
      <c r="T137" s="1">
        <f t="shared" si="51"/>
        <v>0.41293159568351395</v>
      </c>
      <c r="U137" s="1">
        <f t="shared" si="52"/>
        <v>0.41293159568351395</v>
      </c>
      <c r="V137" s="1">
        <f t="shared" si="53"/>
        <v>0.6193973935252709</v>
      </c>
      <c r="W137" s="1">
        <f t="shared" si="54"/>
        <v>0.6193973935252709</v>
      </c>
      <c r="X137" s="1">
        <f t="shared" si="55"/>
        <v>0.6193973935252709</v>
      </c>
      <c r="Y137" s="1">
        <f t="shared" si="64"/>
        <v>0.6193973935252709</v>
      </c>
      <c r="Z137" s="1">
        <f t="shared" si="65"/>
        <v>0.41293159568351395</v>
      </c>
      <c r="AA137" s="1">
        <f t="shared" si="56"/>
        <v>0.20646579784175698</v>
      </c>
      <c r="AB137" s="1">
        <f t="shared" si="57"/>
        <v>0.41293159568351395</v>
      </c>
      <c r="AC137" s="1">
        <f t="shared" si="58"/>
        <v>0.41293159568351395</v>
      </c>
      <c r="AD137" s="1">
        <f t="shared" si="59"/>
        <v>0.6193973935252709</v>
      </c>
      <c r="AE137" s="1">
        <f t="shared" si="60"/>
        <v>0.20646579784175698</v>
      </c>
      <c r="AF137" s="1">
        <f t="shared" si="61"/>
        <v>0.20646579784175698</v>
      </c>
      <c r="AG137" s="1">
        <f t="shared" si="62"/>
        <v>0.41293159568351395</v>
      </c>
      <c r="AH137" s="1">
        <f t="shared" si="63"/>
        <v>0.20646579784175698</v>
      </c>
      <c r="AI137" s="1">
        <f t="shared" si="66"/>
        <v>0.41293159568351395</v>
      </c>
      <c r="AJ137" s="1">
        <f t="shared" si="67"/>
        <v>0.6193973935252709</v>
      </c>
      <c r="AK137" s="1">
        <f t="shared" si="68"/>
        <v>0.5505754609113519</v>
      </c>
      <c r="AL137" s="1">
        <f t="shared" si="69"/>
        <v>0.30969869676263545</v>
      </c>
      <c r="AM137" s="1">
        <f t="shared" si="70"/>
        <v>0.41293159568351395</v>
      </c>
      <c r="AN137" s="1">
        <f t="shared" si="71"/>
        <v>0.41293159568351395</v>
      </c>
      <c r="AO137" s="1">
        <f t="shared" si="72"/>
        <v>0.27528773045567595</v>
      </c>
    </row>
    <row r="138" spans="1:41" x14ac:dyDescent="0.2">
      <c r="A138">
        <v>136</v>
      </c>
      <c r="B138" t="s">
        <v>64</v>
      </c>
      <c r="C138">
        <v>2</v>
      </c>
      <c r="D138">
        <v>2</v>
      </c>
      <c r="E138">
        <v>0</v>
      </c>
      <c r="F138">
        <v>2</v>
      </c>
      <c r="G138">
        <v>3</v>
      </c>
      <c r="H138">
        <v>3</v>
      </c>
      <c r="I138">
        <v>2</v>
      </c>
      <c r="J138">
        <v>1</v>
      </c>
      <c r="K138">
        <v>0</v>
      </c>
      <c r="L138">
        <v>2</v>
      </c>
      <c r="M138">
        <v>3</v>
      </c>
      <c r="N138">
        <v>2</v>
      </c>
      <c r="O138">
        <v>1</v>
      </c>
      <c r="P138">
        <v>1</v>
      </c>
      <c r="Q138">
        <v>0</v>
      </c>
      <c r="R138">
        <v>400.40300000000002</v>
      </c>
      <c r="S138">
        <v>25886.612000000001</v>
      </c>
      <c r="T138" s="1">
        <f t="shared" si="51"/>
        <v>3.0935141300066613</v>
      </c>
      <c r="U138" s="1">
        <f t="shared" si="52"/>
        <v>3.0935141300066613</v>
      </c>
      <c r="V138" s="1">
        <f t="shared" si="53"/>
        <v>0</v>
      </c>
      <c r="W138" s="1">
        <f t="shared" si="54"/>
        <v>3.0935141300066613</v>
      </c>
      <c r="X138" s="1">
        <f t="shared" si="55"/>
        <v>4.6402711950099924</v>
      </c>
      <c r="Y138" s="1">
        <f t="shared" si="64"/>
        <v>4.6402711950099924</v>
      </c>
      <c r="Z138" s="1">
        <f t="shared" si="65"/>
        <v>3.0935141300066613</v>
      </c>
      <c r="AA138" s="1">
        <f t="shared" si="56"/>
        <v>1.5467570650033307</v>
      </c>
      <c r="AB138" s="1">
        <f t="shared" si="57"/>
        <v>0</v>
      </c>
      <c r="AC138" s="1">
        <f t="shared" si="58"/>
        <v>3.0935141300066613</v>
      </c>
      <c r="AD138" s="1">
        <f t="shared" si="59"/>
        <v>4.6402711950099924</v>
      </c>
      <c r="AE138" s="1">
        <f t="shared" si="60"/>
        <v>3.0935141300066613</v>
      </c>
      <c r="AF138" s="1">
        <f t="shared" si="61"/>
        <v>1.5467570650033307</v>
      </c>
      <c r="AG138" s="1">
        <f t="shared" si="62"/>
        <v>1.5467570650033307</v>
      </c>
      <c r="AH138" s="1">
        <f t="shared" si="63"/>
        <v>0</v>
      </c>
      <c r="AI138" s="1">
        <f t="shared" si="66"/>
        <v>3.0935141300066613</v>
      </c>
      <c r="AJ138" s="1">
        <f t="shared" si="67"/>
        <v>1.5467570650033307</v>
      </c>
      <c r="AK138" s="1">
        <f t="shared" si="68"/>
        <v>4.1246855066755481</v>
      </c>
      <c r="AL138" s="1">
        <f t="shared" si="69"/>
        <v>0.77337853250166533</v>
      </c>
      <c r="AM138" s="1">
        <f t="shared" si="70"/>
        <v>3.0935141300066613</v>
      </c>
      <c r="AN138" s="1">
        <f t="shared" si="71"/>
        <v>3.8668926625083269</v>
      </c>
      <c r="AO138" s="1">
        <f t="shared" si="72"/>
        <v>1.031171376668887</v>
      </c>
    </row>
    <row r="139" spans="1:41" x14ac:dyDescent="0.2">
      <c r="A139">
        <v>137</v>
      </c>
      <c r="B139" t="s">
        <v>63</v>
      </c>
      <c r="C139">
        <v>2</v>
      </c>
      <c r="D139">
        <v>2</v>
      </c>
      <c r="E139">
        <v>3</v>
      </c>
      <c r="F139">
        <v>2</v>
      </c>
      <c r="G139">
        <v>3</v>
      </c>
      <c r="H139">
        <v>3</v>
      </c>
      <c r="I139">
        <v>2</v>
      </c>
      <c r="J139">
        <v>2</v>
      </c>
      <c r="K139">
        <v>0</v>
      </c>
      <c r="L139">
        <v>2</v>
      </c>
      <c r="M139">
        <v>2</v>
      </c>
      <c r="N139">
        <v>2</v>
      </c>
      <c r="O139">
        <v>2</v>
      </c>
      <c r="P139">
        <v>1</v>
      </c>
      <c r="Q139">
        <v>0</v>
      </c>
      <c r="R139">
        <v>206.50800000000001</v>
      </c>
      <c r="S139">
        <v>25886.612000000001</v>
      </c>
      <c r="T139" s="1">
        <f t="shared" si="51"/>
        <v>1.5954810926976462</v>
      </c>
      <c r="U139" s="1">
        <f t="shared" si="52"/>
        <v>1.5954810926976462</v>
      </c>
      <c r="V139" s="1">
        <f t="shared" si="53"/>
        <v>2.3932216390464691</v>
      </c>
      <c r="W139" s="1">
        <f t="shared" si="54"/>
        <v>1.5954810926976462</v>
      </c>
      <c r="X139" s="1">
        <f t="shared" si="55"/>
        <v>2.3932216390464691</v>
      </c>
      <c r="Y139" s="1">
        <f t="shared" si="64"/>
        <v>2.3932216390464691</v>
      </c>
      <c r="Z139" s="1">
        <f t="shared" si="65"/>
        <v>1.5954810926976462</v>
      </c>
      <c r="AA139" s="1">
        <f t="shared" si="56"/>
        <v>1.5954810926976462</v>
      </c>
      <c r="AB139" s="1">
        <f t="shared" si="57"/>
        <v>0</v>
      </c>
      <c r="AC139" s="1">
        <f t="shared" si="58"/>
        <v>1.5954810926976462</v>
      </c>
      <c r="AD139" s="1">
        <f t="shared" si="59"/>
        <v>1.5954810926976462</v>
      </c>
      <c r="AE139" s="1">
        <f t="shared" si="60"/>
        <v>1.5954810926976462</v>
      </c>
      <c r="AF139" s="1">
        <f t="shared" si="61"/>
        <v>1.5954810926976462</v>
      </c>
      <c r="AG139" s="1">
        <f t="shared" si="62"/>
        <v>0.79774054634882308</v>
      </c>
      <c r="AH139" s="1">
        <f t="shared" si="63"/>
        <v>0</v>
      </c>
      <c r="AI139" s="1">
        <f t="shared" si="66"/>
        <v>1.5954810926976462</v>
      </c>
      <c r="AJ139" s="1">
        <f t="shared" si="67"/>
        <v>1.9943513658720575</v>
      </c>
      <c r="AK139" s="1">
        <f t="shared" si="68"/>
        <v>2.1273081235968614</v>
      </c>
      <c r="AL139" s="1">
        <f t="shared" si="69"/>
        <v>0.79774054634882308</v>
      </c>
      <c r="AM139" s="1">
        <f t="shared" si="70"/>
        <v>1.5954810926976462</v>
      </c>
      <c r="AN139" s="1">
        <f t="shared" si="71"/>
        <v>1.5954810926976462</v>
      </c>
      <c r="AO139" s="1">
        <f t="shared" si="72"/>
        <v>0.79774054634882308</v>
      </c>
    </row>
    <row r="140" spans="1:41" x14ac:dyDescent="0.2">
      <c r="A140">
        <v>138</v>
      </c>
      <c r="B140" t="s">
        <v>65</v>
      </c>
      <c r="C140">
        <v>2</v>
      </c>
      <c r="D140">
        <v>2</v>
      </c>
      <c r="E140">
        <v>3</v>
      </c>
      <c r="F140">
        <v>3</v>
      </c>
      <c r="G140">
        <v>2</v>
      </c>
      <c r="H140">
        <v>2</v>
      </c>
      <c r="I140">
        <v>1</v>
      </c>
      <c r="J140">
        <v>1</v>
      </c>
      <c r="K140">
        <v>0</v>
      </c>
      <c r="L140">
        <v>1</v>
      </c>
      <c r="M140">
        <v>2</v>
      </c>
      <c r="N140">
        <v>2</v>
      </c>
      <c r="O140">
        <v>2</v>
      </c>
      <c r="P140">
        <v>1</v>
      </c>
      <c r="Q140">
        <v>0</v>
      </c>
      <c r="R140">
        <v>199.191</v>
      </c>
      <c r="S140">
        <v>25886.612000000001</v>
      </c>
      <c r="T140" s="1">
        <f t="shared" si="51"/>
        <v>1.5389499406102272</v>
      </c>
      <c r="U140" s="1">
        <f t="shared" si="52"/>
        <v>1.5389499406102272</v>
      </c>
      <c r="V140" s="1">
        <f t="shared" si="53"/>
        <v>2.308424910915341</v>
      </c>
      <c r="W140" s="1">
        <f t="shared" si="54"/>
        <v>2.308424910915341</v>
      </c>
      <c r="X140" s="1">
        <f t="shared" si="55"/>
        <v>1.5389499406102272</v>
      </c>
      <c r="Y140" s="1">
        <f t="shared" si="64"/>
        <v>1.5389499406102272</v>
      </c>
      <c r="Z140" s="1">
        <f t="shared" si="65"/>
        <v>0.76947497030511358</v>
      </c>
      <c r="AA140" s="1">
        <f t="shared" si="56"/>
        <v>0.76947497030511358</v>
      </c>
      <c r="AB140" s="1">
        <f t="shared" si="57"/>
        <v>0</v>
      </c>
      <c r="AC140" s="1">
        <f t="shared" si="58"/>
        <v>0.76947497030511358</v>
      </c>
      <c r="AD140" s="1">
        <f t="shared" si="59"/>
        <v>1.5389499406102272</v>
      </c>
      <c r="AE140" s="1">
        <f t="shared" si="60"/>
        <v>1.5389499406102272</v>
      </c>
      <c r="AF140" s="1">
        <f t="shared" si="61"/>
        <v>1.5389499406102272</v>
      </c>
      <c r="AG140" s="1">
        <f t="shared" si="62"/>
        <v>0.76947497030511358</v>
      </c>
      <c r="AH140" s="1">
        <f t="shared" si="63"/>
        <v>0</v>
      </c>
      <c r="AI140" s="1">
        <f t="shared" si="66"/>
        <v>1.5389499406102272</v>
      </c>
      <c r="AJ140" s="1">
        <f t="shared" si="67"/>
        <v>2.308424910915341</v>
      </c>
      <c r="AK140" s="1">
        <f t="shared" si="68"/>
        <v>1.2824582838418559</v>
      </c>
      <c r="AL140" s="1">
        <f t="shared" si="69"/>
        <v>0.38473748515255679</v>
      </c>
      <c r="AM140" s="1">
        <f t="shared" si="70"/>
        <v>0.76947497030511358</v>
      </c>
      <c r="AN140" s="1">
        <f t="shared" si="71"/>
        <v>1.5389499406102272</v>
      </c>
      <c r="AO140" s="1">
        <f t="shared" si="72"/>
        <v>0.76947497030511369</v>
      </c>
    </row>
    <row r="141" spans="1:41" x14ac:dyDescent="0.2">
      <c r="A141">
        <v>139</v>
      </c>
      <c r="B141" t="s">
        <v>65</v>
      </c>
      <c r="C141">
        <v>2</v>
      </c>
      <c r="D141">
        <v>1</v>
      </c>
      <c r="E141">
        <v>3</v>
      </c>
      <c r="F141">
        <v>3</v>
      </c>
      <c r="G141">
        <v>2</v>
      </c>
      <c r="H141">
        <v>1</v>
      </c>
      <c r="I141">
        <v>1</v>
      </c>
      <c r="J141">
        <v>2</v>
      </c>
      <c r="K141">
        <v>0</v>
      </c>
      <c r="L141">
        <v>1</v>
      </c>
      <c r="M141">
        <v>2</v>
      </c>
      <c r="N141">
        <v>1</v>
      </c>
      <c r="O141">
        <v>1</v>
      </c>
      <c r="P141">
        <v>1</v>
      </c>
      <c r="Q141">
        <v>0</v>
      </c>
      <c r="R141">
        <v>192.041</v>
      </c>
      <c r="S141">
        <v>25886.612000000001</v>
      </c>
      <c r="T141" s="1">
        <f t="shared" si="51"/>
        <v>1.4837090307530392</v>
      </c>
      <c r="U141" s="1">
        <f t="shared" si="52"/>
        <v>0.74185451537651959</v>
      </c>
      <c r="V141" s="1">
        <f t="shared" si="53"/>
        <v>2.2255635461295586</v>
      </c>
      <c r="W141" s="1">
        <f t="shared" si="54"/>
        <v>2.2255635461295586</v>
      </c>
      <c r="X141" s="1">
        <f t="shared" si="55"/>
        <v>1.4837090307530392</v>
      </c>
      <c r="Y141" s="1">
        <f t="shared" si="64"/>
        <v>0.74185451537651959</v>
      </c>
      <c r="Z141" s="1">
        <f t="shared" si="65"/>
        <v>0.74185451537651959</v>
      </c>
      <c r="AA141" s="1">
        <f t="shared" si="56"/>
        <v>1.4837090307530392</v>
      </c>
      <c r="AB141" s="1">
        <f t="shared" si="57"/>
        <v>0</v>
      </c>
      <c r="AC141" s="1">
        <f t="shared" si="58"/>
        <v>0.74185451537651959</v>
      </c>
      <c r="AD141" s="1">
        <f t="shared" si="59"/>
        <v>1.4837090307530392</v>
      </c>
      <c r="AE141" s="1">
        <f t="shared" si="60"/>
        <v>0.74185451537651959</v>
      </c>
      <c r="AF141" s="1">
        <f t="shared" si="61"/>
        <v>0.74185451537651959</v>
      </c>
      <c r="AG141" s="1">
        <f t="shared" si="62"/>
        <v>0.74185451537651959</v>
      </c>
      <c r="AH141" s="1">
        <f t="shared" si="63"/>
        <v>0</v>
      </c>
      <c r="AI141" s="1">
        <f t="shared" si="66"/>
        <v>1.1127817730647793</v>
      </c>
      <c r="AJ141" s="1">
        <f t="shared" si="67"/>
        <v>2.2255635461295586</v>
      </c>
      <c r="AK141" s="1">
        <f t="shared" si="68"/>
        <v>0.98913935383535945</v>
      </c>
      <c r="AL141" s="1">
        <f t="shared" si="69"/>
        <v>0.74185451537651959</v>
      </c>
      <c r="AM141" s="1">
        <f t="shared" si="70"/>
        <v>0.74185451537651959</v>
      </c>
      <c r="AN141" s="1">
        <f t="shared" si="71"/>
        <v>1.1127817730647793</v>
      </c>
      <c r="AO141" s="1">
        <f t="shared" si="72"/>
        <v>0.49456967691767972</v>
      </c>
    </row>
    <row r="142" spans="1:41" x14ac:dyDescent="0.2">
      <c r="A142">
        <v>140</v>
      </c>
      <c r="B142" t="s">
        <v>66</v>
      </c>
      <c r="C142">
        <v>1</v>
      </c>
      <c r="D142">
        <v>1</v>
      </c>
      <c r="E142">
        <v>2</v>
      </c>
      <c r="F142">
        <v>3</v>
      </c>
      <c r="G142">
        <v>2</v>
      </c>
      <c r="H142">
        <v>2</v>
      </c>
      <c r="I142">
        <v>1</v>
      </c>
      <c r="J142">
        <v>2</v>
      </c>
      <c r="K142">
        <v>0</v>
      </c>
      <c r="L142">
        <v>1</v>
      </c>
      <c r="M142">
        <v>3</v>
      </c>
      <c r="N142">
        <v>1</v>
      </c>
      <c r="O142">
        <v>1</v>
      </c>
      <c r="P142">
        <v>1</v>
      </c>
      <c r="Q142">
        <v>0</v>
      </c>
      <c r="R142">
        <v>135.923</v>
      </c>
      <c r="S142">
        <v>25886.612000000001</v>
      </c>
      <c r="T142" s="1">
        <f t="shared" si="51"/>
        <v>0.52507064269360548</v>
      </c>
      <c r="U142" s="1">
        <f t="shared" si="52"/>
        <v>0.52507064269360548</v>
      </c>
      <c r="V142" s="1">
        <f t="shared" si="53"/>
        <v>1.050141285387211</v>
      </c>
      <c r="W142" s="1">
        <f t="shared" si="54"/>
        <v>1.5752119280808166</v>
      </c>
      <c r="X142" s="1">
        <f t="shared" si="55"/>
        <v>1.050141285387211</v>
      </c>
      <c r="Y142" s="1">
        <f t="shared" si="64"/>
        <v>1.050141285387211</v>
      </c>
      <c r="Z142" s="1">
        <f t="shared" si="65"/>
        <v>0.52507064269360548</v>
      </c>
      <c r="AA142" s="1">
        <f t="shared" si="56"/>
        <v>1.050141285387211</v>
      </c>
      <c r="AB142" s="1">
        <f t="shared" si="57"/>
        <v>0</v>
      </c>
      <c r="AC142" s="1">
        <f t="shared" si="58"/>
        <v>0.52507064269360548</v>
      </c>
      <c r="AD142" s="1">
        <f t="shared" si="59"/>
        <v>1.5752119280808166</v>
      </c>
      <c r="AE142" s="1">
        <f t="shared" si="60"/>
        <v>0.52507064269360548</v>
      </c>
      <c r="AF142" s="1">
        <f t="shared" si="61"/>
        <v>0.52507064269360548</v>
      </c>
      <c r="AG142" s="1">
        <f t="shared" si="62"/>
        <v>0.52507064269360548</v>
      </c>
      <c r="AH142" s="1">
        <f t="shared" si="63"/>
        <v>0</v>
      </c>
      <c r="AI142" s="1">
        <f t="shared" si="66"/>
        <v>0.52507064269360548</v>
      </c>
      <c r="AJ142" s="1">
        <f t="shared" si="67"/>
        <v>1.3126766067340139</v>
      </c>
      <c r="AK142" s="1">
        <f t="shared" si="68"/>
        <v>0.87511773782267577</v>
      </c>
      <c r="AL142" s="1">
        <f t="shared" si="69"/>
        <v>0.52507064269360548</v>
      </c>
      <c r="AM142" s="1">
        <f t="shared" si="70"/>
        <v>0.52507064269360548</v>
      </c>
      <c r="AN142" s="1">
        <f t="shared" si="71"/>
        <v>1.050141285387211</v>
      </c>
      <c r="AO142" s="1">
        <f t="shared" si="72"/>
        <v>0.35004709512907034</v>
      </c>
    </row>
    <row r="143" spans="1:41" x14ac:dyDescent="0.2">
      <c r="A143">
        <v>141</v>
      </c>
      <c r="B143" t="s">
        <v>67</v>
      </c>
      <c r="C143">
        <v>1</v>
      </c>
      <c r="D143">
        <v>2</v>
      </c>
      <c r="E143">
        <v>3</v>
      </c>
      <c r="F143">
        <v>3</v>
      </c>
      <c r="G143">
        <v>2</v>
      </c>
      <c r="H143">
        <v>3</v>
      </c>
      <c r="I143">
        <v>1</v>
      </c>
      <c r="J143">
        <v>2</v>
      </c>
      <c r="K143">
        <v>0</v>
      </c>
      <c r="L143">
        <v>1</v>
      </c>
      <c r="M143">
        <v>3</v>
      </c>
      <c r="N143">
        <v>2</v>
      </c>
      <c r="O143">
        <v>1</v>
      </c>
      <c r="P143">
        <v>1</v>
      </c>
      <c r="Q143">
        <v>0</v>
      </c>
      <c r="R143">
        <v>132.98400000000001</v>
      </c>
      <c r="S143">
        <v>25886.612000000001</v>
      </c>
      <c r="T143" s="1">
        <f t="shared" si="51"/>
        <v>0.51371728366771219</v>
      </c>
      <c r="U143" s="1">
        <f t="shared" si="52"/>
        <v>1.0274345673354244</v>
      </c>
      <c r="V143" s="1">
        <f t="shared" si="53"/>
        <v>1.5411518510031366</v>
      </c>
      <c r="W143" s="1">
        <f t="shared" si="54"/>
        <v>1.5411518510031366</v>
      </c>
      <c r="X143" s="1">
        <f t="shared" si="55"/>
        <v>1.0274345673354244</v>
      </c>
      <c r="Y143" s="1">
        <f t="shared" si="64"/>
        <v>1.5411518510031366</v>
      </c>
      <c r="Z143" s="1">
        <f t="shared" si="65"/>
        <v>0.51371728366771219</v>
      </c>
      <c r="AA143" s="1">
        <f t="shared" si="56"/>
        <v>1.0274345673354244</v>
      </c>
      <c r="AB143" s="1">
        <f t="shared" si="57"/>
        <v>0</v>
      </c>
      <c r="AC143" s="1">
        <f t="shared" si="58"/>
        <v>0.51371728366771219</v>
      </c>
      <c r="AD143" s="1">
        <f t="shared" si="59"/>
        <v>1.5411518510031366</v>
      </c>
      <c r="AE143" s="1">
        <f t="shared" si="60"/>
        <v>1.0274345673354244</v>
      </c>
      <c r="AF143" s="1">
        <f t="shared" si="61"/>
        <v>0.51371728366771219</v>
      </c>
      <c r="AG143" s="1">
        <f t="shared" si="62"/>
        <v>0.51371728366771219</v>
      </c>
      <c r="AH143" s="1">
        <f t="shared" si="63"/>
        <v>0</v>
      </c>
      <c r="AI143" s="1">
        <f t="shared" si="66"/>
        <v>0.77057592550156828</v>
      </c>
      <c r="AJ143" s="1">
        <f t="shared" si="67"/>
        <v>1.5411518510031366</v>
      </c>
      <c r="AK143" s="1">
        <f t="shared" si="68"/>
        <v>1.0274345673354244</v>
      </c>
      <c r="AL143" s="1">
        <f t="shared" si="69"/>
        <v>0.51371728366771219</v>
      </c>
      <c r="AM143" s="1">
        <f t="shared" si="70"/>
        <v>0.51371728366771219</v>
      </c>
      <c r="AN143" s="1">
        <f t="shared" si="71"/>
        <v>1.2842932091692805</v>
      </c>
      <c r="AO143" s="1">
        <f t="shared" si="72"/>
        <v>0.34247818911180811</v>
      </c>
    </row>
    <row r="144" spans="1:41" x14ac:dyDescent="0.2">
      <c r="A144">
        <v>142</v>
      </c>
      <c r="B144" t="s">
        <v>68</v>
      </c>
      <c r="C144">
        <v>2</v>
      </c>
      <c r="D144">
        <v>2</v>
      </c>
      <c r="E144">
        <v>3</v>
      </c>
      <c r="F144">
        <v>3</v>
      </c>
      <c r="G144">
        <v>3</v>
      </c>
      <c r="H144">
        <v>3</v>
      </c>
      <c r="I144">
        <v>1</v>
      </c>
      <c r="J144">
        <v>1</v>
      </c>
      <c r="K144">
        <v>1</v>
      </c>
      <c r="L144">
        <v>2</v>
      </c>
      <c r="M144">
        <v>2</v>
      </c>
      <c r="N144">
        <v>1</v>
      </c>
      <c r="O144">
        <v>1</v>
      </c>
      <c r="P144">
        <v>1</v>
      </c>
      <c r="Q144">
        <v>0</v>
      </c>
      <c r="R144">
        <v>215.29499999999999</v>
      </c>
      <c r="S144">
        <v>25886.612000000001</v>
      </c>
      <c r="T144" s="1">
        <f t="shared" si="51"/>
        <v>1.6633694668116477</v>
      </c>
      <c r="U144" s="1">
        <f t="shared" si="52"/>
        <v>1.6633694668116477</v>
      </c>
      <c r="V144" s="1">
        <f t="shared" si="53"/>
        <v>2.4950542002174716</v>
      </c>
      <c r="W144" s="1">
        <f t="shared" si="54"/>
        <v>2.4950542002174716</v>
      </c>
      <c r="X144" s="1">
        <f t="shared" si="55"/>
        <v>2.4950542002174716</v>
      </c>
      <c r="Y144" s="1">
        <f t="shared" si="64"/>
        <v>2.4950542002174716</v>
      </c>
      <c r="Z144" s="1">
        <f t="shared" si="65"/>
        <v>0.83168473340582383</v>
      </c>
      <c r="AA144" s="1">
        <f t="shared" si="56"/>
        <v>0.83168473340582383</v>
      </c>
      <c r="AB144" s="1">
        <f t="shared" si="57"/>
        <v>0.83168473340582383</v>
      </c>
      <c r="AC144" s="1">
        <f t="shared" si="58"/>
        <v>1.6633694668116477</v>
      </c>
      <c r="AD144" s="1">
        <f t="shared" si="59"/>
        <v>1.6633694668116477</v>
      </c>
      <c r="AE144" s="1">
        <f t="shared" si="60"/>
        <v>0.83168473340582383</v>
      </c>
      <c r="AF144" s="1">
        <f t="shared" si="61"/>
        <v>0.83168473340582383</v>
      </c>
      <c r="AG144" s="1">
        <f t="shared" si="62"/>
        <v>0.83168473340582383</v>
      </c>
      <c r="AH144" s="1">
        <f t="shared" si="63"/>
        <v>0</v>
      </c>
      <c r="AI144" s="1">
        <f t="shared" si="66"/>
        <v>1.6633694668116477</v>
      </c>
      <c r="AJ144" s="1">
        <f t="shared" si="67"/>
        <v>2.4950542002174716</v>
      </c>
      <c r="AK144" s="1">
        <f t="shared" si="68"/>
        <v>1.9405977112802557</v>
      </c>
      <c r="AL144" s="1">
        <f t="shared" si="69"/>
        <v>0.83168473340582383</v>
      </c>
      <c r="AM144" s="1">
        <f t="shared" si="70"/>
        <v>1.6633694668116477</v>
      </c>
      <c r="AN144" s="1">
        <f t="shared" si="71"/>
        <v>1.2475271001087358</v>
      </c>
      <c r="AO144" s="1">
        <f t="shared" si="72"/>
        <v>0.55445648893721589</v>
      </c>
    </row>
    <row r="145" spans="1:41" x14ac:dyDescent="0.2">
      <c r="A145">
        <v>143</v>
      </c>
      <c r="B145" t="s">
        <v>66</v>
      </c>
      <c r="C145">
        <v>2</v>
      </c>
      <c r="D145">
        <v>2</v>
      </c>
      <c r="E145">
        <v>3</v>
      </c>
      <c r="F145">
        <v>3</v>
      </c>
      <c r="G145">
        <v>3</v>
      </c>
      <c r="H145">
        <v>2</v>
      </c>
      <c r="I145">
        <v>2</v>
      </c>
      <c r="J145">
        <v>2</v>
      </c>
      <c r="K145">
        <v>2</v>
      </c>
      <c r="L145">
        <v>2</v>
      </c>
      <c r="M145">
        <v>2</v>
      </c>
      <c r="N145">
        <v>2</v>
      </c>
      <c r="O145">
        <v>2</v>
      </c>
      <c r="P145">
        <v>1</v>
      </c>
      <c r="Q145">
        <v>1</v>
      </c>
      <c r="R145">
        <v>58.83</v>
      </c>
      <c r="S145">
        <v>25886.612000000001</v>
      </c>
      <c r="T145" s="1">
        <f t="shared" si="51"/>
        <v>0.45452066110466677</v>
      </c>
      <c r="U145" s="1">
        <f t="shared" si="52"/>
        <v>0.45452066110466677</v>
      </c>
      <c r="V145" s="1">
        <f t="shared" si="53"/>
        <v>0.68178099165700012</v>
      </c>
      <c r="W145" s="1">
        <f t="shared" si="54"/>
        <v>0.68178099165700012</v>
      </c>
      <c r="X145" s="1">
        <f t="shared" si="55"/>
        <v>0.68178099165700012</v>
      </c>
      <c r="Y145" s="1">
        <f t="shared" si="64"/>
        <v>0.45452066110466677</v>
      </c>
      <c r="Z145" s="1">
        <f t="shared" si="65"/>
        <v>0.45452066110466677</v>
      </c>
      <c r="AA145" s="1">
        <f t="shared" si="56"/>
        <v>0.45452066110466677</v>
      </c>
      <c r="AB145" s="1">
        <f t="shared" si="57"/>
        <v>0.45452066110466677</v>
      </c>
      <c r="AC145" s="1">
        <f t="shared" si="58"/>
        <v>0.45452066110466677</v>
      </c>
      <c r="AD145" s="1">
        <f t="shared" si="59"/>
        <v>0.45452066110466677</v>
      </c>
      <c r="AE145" s="1">
        <f t="shared" si="60"/>
        <v>0.45452066110466677</v>
      </c>
      <c r="AF145" s="1">
        <f t="shared" si="61"/>
        <v>0.45452066110466677</v>
      </c>
      <c r="AG145" s="1">
        <f t="shared" si="62"/>
        <v>0.22726033055233338</v>
      </c>
      <c r="AH145" s="1">
        <f t="shared" si="63"/>
        <v>0.22726033055233338</v>
      </c>
      <c r="AI145" s="1">
        <f t="shared" si="66"/>
        <v>0.45452066110466677</v>
      </c>
      <c r="AJ145" s="1">
        <f t="shared" si="67"/>
        <v>0.68178099165700012</v>
      </c>
      <c r="AK145" s="1">
        <f t="shared" si="68"/>
        <v>0.53027410462211122</v>
      </c>
      <c r="AL145" s="1">
        <f t="shared" si="69"/>
        <v>0.45452066110466677</v>
      </c>
      <c r="AM145" s="1">
        <f t="shared" si="70"/>
        <v>0.45452066110466677</v>
      </c>
      <c r="AN145" s="1">
        <f t="shared" si="71"/>
        <v>0.45452066110466677</v>
      </c>
      <c r="AO145" s="1">
        <f t="shared" si="72"/>
        <v>0.30301377406977786</v>
      </c>
    </row>
    <row r="146" spans="1:41" x14ac:dyDescent="0.2">
      <c r="A146">
        <v>144</v>
      </c>
      <c r="B146" t="s">
        <v>66</v>
      </c>
      <c r="C146">
        <v>2</v>
      </c>
      <c r="D146">
        <v>2</v>
      </c>
      <c r="E146">
        <v>3</v>
      </c>
      <c r="F146">
        <v>3</v>
      </c>
      <c r="G146">
        <v>2</v>
      </c>
      <c r="H146">
        <v>2</v>
      </c>
      <c r="I146">
        <v>1</v>
      </c>
      <c r="J146">
        <v>2</v>
      </c>
      <c r="K146">
        <v>2</v>
      </c>
      <c r="L146">
        <v>2</v>
      </c>
      <c r="M146">
        <v>2</v>
      </c>
      <c r="N146">
        <v>2</v>
      </c>
      <c r="O146">
        <v>2</v>
      </c>
      <c r="P146">
        <v>2</v>
      </c>
      <c r="Q146">
        <v>1</v>
      </c>
      <c r="R146">
        <v>57.048999999999999</v>
      </c>
      <c r="S146">
        <v>25886.612000000001</v>
      </c>
      <c r="T146" s="1">
        <f t="shared" si="51"/>
        <v>0.44076065264933079</v>
      </c>
      <c r="U146" s="1">
        <f t="shared" si="52"/>
        <v>0.44076065264933079</v>
      </c>
      <c r="V146" s="1">
        <f t="shared" si="53"/>
        <v>0.66114097897399615</v>
      </c>
      <c r="W146" s="1">
        <f t="shared" si="54"/>
        <v>0.66114097897399615</v>
      </c>
      <c r="X146" s="1">
        <f t="shared" si="55"/>
        <v>0.44076065264933079</v>
      </c>
      <c r="Y146" s="1">
        <f t="shared" si="64"/>
        <v>0.44076065264933079</v>
      </c>
      <c r="Z146" s="1">
        <f t="shared" si="65"/>
        <v>0.22038032632466539</v>
      </c>
      <c r="AA146" s="1">
        <f t="shared" si="56"/>
        <v>0.44076065264933079</v>
      </c>
      <c r="AB146" s="1">
        <f t="shared" si="57"/>
        <v>0.44076065264933079</v>
      </c>
      <c r="AC146" s="1">
        <f t="shared" si="58"/>
        <v>0.44076065264933079</v>
      </c>
      <c r="AD146" s="1">
        <f t="shared" si="59"/>
        <v>0.44076065264933079</v>
      </c>
      <c r="AE146" s="1">
        <f t="shared" si="60"/>
        <v>0.44076065264933079</v>
      </c>
      <c r="AF146" s="1">
        <f t="shared" si="61"/>
        <v>0.44076065264933079</v>
      </c>
      <c r="AG146" s="1">
        <f t="shared" si="62"/>
        <v>0.44076065264933079</v>
      </c>
      <c r="AH146" s="1">
        <f t="shared" si="63"/>
        <v>0.22038032632466539</v>
      </c>
      <c r="AI146" s="1">
        <f t="shared" si="66"/>
        <v>0.44076065264933079</v>
      </c>
      <c r="AJ146" s="1">
        <f t="shared" si="67"/>
        <v>0.66114097897399615</v>
      </c>
      <c r="AK146" s="1">
        <f t="shared" si="68"/>
        <v>0.36730054387444233</v>
      </c>
      <c r="AL146" s="1">
        <f t="shared" si="69"/>
        <v>0.44076065264933079</v>
      </c>
      <c r="AM146" s="1">
        <f t="shared" si="70"/>
        <v>0.44076065264933079</v>
      </c>
      <c r="AN146" s="1">
        <f t="shared" si="71"/>
        <v>0.44076065264933079</v>
      </c>
      <c r="AO146" s="1">
        <f t="shared" si="72"/>
        <v>0.36730054387444233</v>
      </c>
    </row>
    <row r="147" spans="1:41" x14ac:dyDescent="0.2">
      <c r="A147">
        <v>145</v>
      </c>
      <c r="B147" t="s">
        <v>63</v>
      </c>
      <c r="C147">
        <v>2</v>
      </c>
      <c r="D147">
        <v>2</v>
      </c>
      <c r="E147">
        <v>3</v>
      </c>
      <c r="F147">
        <v>2</v>
      </c>
      <c r="G147">
        <v>3</v>
      </c>
      <c r="H147">
        <v>3</v>
      </c>
      <c r="I147">
        <v>2</v>
      </c>
      <c r="J147">
        <v>2</v>
      </c>
      <c r="K147">
        <v>0</v>
      </c>
      <c r="L147">
        <v>3</v>
      </c>
      <c r="M147">
        <v>1</v>
      </c>
      <c r="N147">
        <v>2</v>
      </c>
      <c r="O147">
        <v>1</v>
      </c>
      <c r="P147">
        <v>1</v>
      </c>
      <c r="Q147">
        <v>0</v>
      </c>
      <c r="R147">
        <v>206.566</v>
      </c>
      <c r="S147">
        <v>25886.612000000001</v>
      </c>
      <c r="T147" s="1">
        <f t="shared" si="51"/>
        <v>1.5959292007776065</v>
      </c>
      <c r="U147" s="1">
        <f t="shared" si="52"/>
        <v>1.5959292007776065</v>
      </c>
      <c r="V147" s="1">
        <f t="shared" si="53"/>
        <v>2.3938938011664099</v>
      </c>
      <c r="W147" s="1">
        <f t="shared" si="54"/>
        <v>1.5959292007776065</v>
      </c>
      <c r="X147" s="1">
        <f t="shared" si="55"/>
        <v>2.3938938011664099</v>
      </c>
      <c r="Y147" s="1">
        <f t="shared" si="64"/>
        <v>2.3938938011664099</v>
      </c>
      <c r="Z147" s="1">
        <f t="shared" si="65"/>
        <v>1.5959292007776065</v>
      </c>
      <c r="AA147" s="1">
        <f t="shared" si="56"/>
        <v>1.5959292007776065</v>
      </c>
      <c r="AB147" s="1">
        <f t="shared" si="57"/>
        <v>0</v>
      </c>
      <c r="AC147" s="1">
        <f t="shared" si="58"/>
        <v>2.3938938011664099</v>
      </c>
      <c r="AD147" s="1">
        <f t="shared" si="59"/>
        <v>0.79796460038880324</v>
      </c>
      <c r="AE147" s="1">
        <f t="shared" si="60"/>
        <v>1.5959292007776065</v>
      </c>
      <c r="AF147" s="1">
        <f t="shared" si="61"/>
        <v>0.79796460038880324</v>
      </c>
      <c r="AG147" s="1">
        <f t="shared" si="62"/>
        <v>0.79796460038880324</v>
      </c>
      <c r="AH147" s="1">
        <f t="shared" si="63"/>
        <v>0</v>
      </c>
      <c r="AI147" s="1">
        <f t="shared" si="66"/>
        <v>1.5959292007776065</v>
      </c>
      <c r="AJ147" s="1">
        <f t="shared" si="67"/>
        <v>1.9949115009720082</v>
      </c>
      <c r="AK147" s="1">
        <f t="shared" si="68"/>
        <v>2.1279056010368085</v>
      </c>
      <c r="AL147" s="1">
        <f t="shared" si="69"/>
        <v>0.79796460038880324</v>
      </c>
      <c r="AM147" s="1">
        <f t="shared" si="70"/>
        <v>2.3938938011664099</v>
      </c>
      <c r="AN147" s="1">
        <f t="shared" si="71"/>
        <v>1.196946900583205</v>
      </c>
      <c r="AO147" s="1">
        <f t="shared" si="72"/>
        <v>0.53197640025920212</v>
      </c>
    </row>
    <row r="148" spans="1:41" x14ac:dyDescent="0.2">
      <c r="A148">
        <v>146</v>
      </c>
      <c r="B148" t="s">
        <v>69</v>
      </c>
      <c r="C148">
        <v>2</v>
      </c>
      <c r="D148">
        <v>2</v>
      </c>
      <c r="E148">
        <v>3</v>
      </c>
      <c r="F148">
        <v>3</v>
      </c>
      <c r="G148">
        <v>3</v>
      </c>
      <c r="H148">
        <v>3</v>
      </c>
      <c r="I148">
        <v>2</v>
      </c>
      <c r="J148">
        <v>2</v>
      </c>
      <c r="K148">
        <v>0</v>
      </c>
      <c r="L148">
        <v>2</v>
      </c>
      <c r="M148">
        <v>2</v>
      </c>
      <c r="N148">
        <v>3</v>
      </c>
      <c r="O148">
        <v>2</v>
      </c>
      <c r="P148">
        <v>2</v>
      </c>
      <c r="Q148">
        <v>0</v>
      </c>
      <c r="R148">
        <v>47.664000000000001</v>
      </c>
      <c r="S148">
        <v>25886.612000000001</v>
      </c>
      <c r="T148" s="1">
        <f t="shared" si="51"/>
        <v>0.36825212971091004</v>
      </c>
      <c r="U148" s="1">
        <f t="shared" si="52"/>
        <v>0.36825212971091004</v>
      </c>
      <c r="V148" s="1">
        <f t="shared" si="53"/>
        <v>0.55237819456636505</v>
      </c>
      <c r="W148" s="1">
        <f t="shared" si="54"/>
        <v>0.55237819456636505</v>
      </c>
      <c r="X148" s="1">
        <f t="shared" si="55"/>
        <v>0.55237819456636505</v>
      </c>
      <c r="Y148" s="1">
        <f t="shared" si="64"/>
        <v>0.55237819456636505</v>
      </c>
      <c r="Z148" s="1">
        <f t="shared" si="65"/>
        <v>0.36825212971091004</v>
      </c>
      <c r="AA148" s="1">
        <f t="shared" si="56"/>
        <v>0.36825212971091004</v>
      </c>
      <c r="AB148" s="1">
        <f t="shared" si="57"/>
        <v>0</v>
      </c>
      <c r="AC148" s="1">
        <f t="shared" si="58"/>
        <v>0.36825212971091004</v>
      </c>
      <c r="AD148" s="1">
        <f t="shared" si="59"/>
        <v>0.36825212971091004</v>
      </c>
      <c r="AE148" s="1">
        <f t="shared" si="60"/>
        <v>0.55237819456636505</v>
      </c>
      <c r="AF148" s="1">
        <f t="shared" si="61"/>
        <v>0.36825212971091004</v>
      </c>
      <c r="AG148" s="1">
        <f t="shared" si="62"/>
        <v>0.36825212971091004</v>
      </c>
      <c r="AH148" s="1">
        <f t="shared" si="63"/>
        <v>0</v>
      </c>
      <c r="AI148" s="1">
        <f t="shared" si="66"/>
        <v>0.36825212971091004</v>
      </c>
      <c r="AJ148" s="1">
        <f t="shared" si="67"/>
        <v>0.55237819456636505</v>
      </c>
      <c r="AK148" s="1">
        <f t="shared" si="68"/>
        <v>0.49100283961454672</v>
      </c>
      <c r="AL148" s="1">
        <f t="shared" si="69"/>
        <v>0.18412606485545502</v>
      </c>
      <c r="AM148" s="1">
        <f t="shared" si="70"/>
        <v>0.36825212971091004</v>
      </c>
      <c r="AN148" s="1">
        <f t="shared" si="71"/>
        <v>0.46031516213863755</v>
      </c>
      <c r="AO148" s="1">
        <f t="shared" si="72"/>
        <v>0.24550141980727336</v>
      </c>
    </row>
    <row r="149" spans="1:41" x14ac:dyDescent="0.2">
      <c r="A149">
        <v>147</v>
      </c>
      <c r="B149" t="s">
        <v>70</v>
      </c>
      <c r="C149">
        <v>1</v>
      </c>
      <c r="D149">
        <v>2</v>
      </c>
      <c r="E149">
        <v>2</v>
      </c>
      <c r="F149">
        <v>2</v>
      </c>
      <c r="G149">
        <v>2</v>
      </c>
      <c r="H149">
        <v>3</v>
      </c>
      <c r="I149">
        <v>2</v>
      </c>
      <c r="J149">
        <v>2</v>
      </c>
      <c r="K149">
        <v>0</v>
      </c>
      <c r="L149">
        <v>1</v>
      </c>
      <c r="M149">
        <v>2</v>
      </c>
      <c r="N149">
        <v>2</v>
      </c>
      <c r="O149">
        <v>2</v>
      </c>
      <c r="P149">
        <v>1</v>
      </c>
      <c r="Q149">
        <v>1</v>
      </c>
      <c r="R149">
        <v>191.113</v>
      </c>
      <c r="S149">
        <v>25886.612000000001</v>
      </c>
      <c r="T149" s="1">
        <f t="shared" si="51"/>
        <v>0.73826965073683637</v>
      </c>
      <c r="U149" s="1">
        <f t="shared" si="52"/>
        <v>1.4765393014736727</v>
      </c>
      <c r="V149" s="1">
        <f t="shared" si="53"/>
        <v>1.4765393014736727</v>
      </c>
      <c r="W149" s="1">
        <f t="shared" si="54"/>
        <v>1.4765393014736727</v>
      </c>
      <c r="X149" s="1">
        <f t="shared" si="55"/>
        <v>1.4765393014736727</v>
      </c>
      <c r="Y149" s="1">
        <f t="shared" si="64"/>
        <v>2.2148089522105092</v>
      </c>
      <c r="Z149" s="1">
        <f t="shared" si="65"/>
        <v>1.4765393014736727</v>
      </c>
      <c r="AA149" s="1">
        <f t="shared" si="56"/>
        <v>1.4765393014736727</v>
      </c>
      <c r="AB149" s="1">
        <f t="shared" si="57"/>
        <v>0</v>
      </c>
      <c r="AC149" s="1">
        <f t="shared" si="58"/>
        <v>0.73826965073683637</v>
      </c>
      <c r="AD149" s="1">
        <f t="shared" si="59"/>
        <v>1.4765393014736727</v>
      </c>
      <c r="AE149" s="1">
        <f t="shared" si="60"/>
        <v>1.4765393014736727</v>
      </c>
      <c r="AF149" s="1">
        <f t="shared" si="61"/>
        <v>1.4765393014736727</v>
      </c>
      <c r="AG149" s="1">
        <f t="shared" si="62"/>
        <v>0.73826965073683637</v>
      </c>
      <c r="AH149" s="1">
        <f t="shared" si="63"/>
        <v>0.73826965073683637</v>
      </c>
      <c r="AI149" s="1">
        <f t="shared" si="66"/>
        <v>1.1074044761052546</v>
      </c>
      <c r="AJ149" s="1">
        <f t="shared" si="67"/>
        <v>1.4765393014736727</v>
      </c>
      <c r="AK149" s="1">
        <f t="shared" si="68"/>
        <v>1.7226291850526181</v>
      </c>
      <c r="AL149" s="1">
        <f t="shared" si="69"/>
        <v>0.73826965073683637</v>
      </c>
      <c r="AM149" s="1">
        <f t="shared" si="70"/>
        <v>0.73826965073683637</v>
      </c>
      <c r="AN149" s="1">
        <f t="shared" si="71"/>
        <v>1.4765393014736727</v>
      </c>
      <c r="AO149" s="1">
        <f t="shared" si="72"/>
        <v>0.98435953431578183</v>
      </c>
    </row>
    <row r="150" spans="1:41" x14ac:dyDescent="0.2">
      <c r="A150">
        <v>148</v>
      </c>
      <c r="B150" t="s">
        <v>70</v>
      </c>
      <c r="C150">
        <v>2</v>
      </c>
      <c r="D150">
        <v>2</v>
      </c>
      <c r="E150">
        <v>2</v>
      </c>
      <c r="F150">
        <v>3</v>
      </c>
      <c r="G150">
        <v>2</v>
      </c>
      <c r="H150">
        <v>3</v>
      </c>
      <c r="I150">
        <v>2</v>
      </c>
      <c r="J150">
        <v>2</v>
      </c>
      <c r="K150">
        <v>0</v>
      </c>
      <c r="L150">
        <v>1</v>
      </c>
      <c r="M150">
        <v>2</v>
      </c>
      <c r="N150">
        <v>2</v>
      </c>
      <c r="O150">
        <v>2</v>
      </c>
      <c r="P150">
        <v>1</v>
      </c>
      <c r="Q150">
        <v>1</v>
      </c>
      <c r="R150">
        <v>186.99600000000001</v>
      </c>
      <c r="S150">
        <v>25886.612000000001</v>
      </c>
      <c r="T150" s="1">
        <f t="shared" si="51"/>
        <v>1.444731353797863</v>
      </c>
      <c r="U150" s="1">
        <f t="shared" si="52"/>
        <v>1.444731353797863</v>
      </c>
      <c r="V150" s="1">
        <f t="shared" si="53"/>
        <v>1.444731353797863</v>
      </c>
      <c r="W150" s="1">
        <f t="shared" si="54"/>
        <v>2.1670970306967945</v>
      </c>
      <c r="X150" s="1">
        <f t="shared" si="55"/>
        <v>1.444731353797863</v>
      </c>
      <c r="Y150" s="1">
        <f t="shared" si="64"/>
        <v>2.1670970306967945</v>
      </c>
      <c r="Z150" s="1">
        <f t="shared" si="65"/>
        <v>1.444731353797863</v>
      </c>
      <c r="AA150" s="1">
        <f t="shared" si="56"/>
        <v>1.444731353797863</v>
      </c>
      <c r="AB150" s="1">
        <f t="shared" si="57"/>
        <v>0</v>
      </c>
      <c r="AC150" s="1">
        <f t="shared" si="58"/>
        <v>0.7223656768989315</v>
      </c>
      <c r="AD150" s="1">
        <f t="shared" si="59"/>
        <v>1.444731353797863</v>
      </c>
      <c r="AE150" s="1">
        <f t="shared" si="60"/>
        <v>1.444731353797863</v>
      </c>
      <c r="AF150" s="1">
        <f t="shared" si="61"/>
        <v>1.444731353797863</v>
      </c>
      <c r="AG150" s="1">
        <f t="shared" si="62"/>
        <v>0.7223656768989315</v>
      </c>
      <c r="AH150" s="1">
        <f t="shared" si="63"/>
        <v>0.7223656768989315</v>
      </c>
      <c r="AI150" s="1">
        <f t="shared" si="66"/>
        <v>1.444731353797863</v>
      </c>
      <c r="AJ150" s="1">
        <f t="shared" si="67"/>
        <v>1.8059141922473287</v>
      </c>
      <c r="AK150" s="1">
        <f t="shared" si="68"/>
        <v>1.6855199127641736</v>
      </c>
      <c r="AL150" s="1">
        <f t="shared" si="69"/>
        <v>0.7223656768989315</v>
      </c>
      <c r="AM150" s="1">
        <f t="shared" si="70"/>
        <v>0.7223656768989315</v>
      </c>
      <c r="AN150" s="1">
        <f t="shared" si="71"/>
        <v>1.444731353797863</v>
      </c>
      <c r="AO150" s="1">
        <f t="shared" si="72"/>
        <v>0.96315423586524196</v>
      </c>
    </row>
    <row r="151" spans="1:41" x14ac:dyDescent="0.2">
      <c r="A151">
        <v>149</v>
      </c>
      <c r="B151" t="s">
        <v>71</v>
      </c>
      <c r="C151">
        <v>3</v>
      </c>
      <c r="D151">
        <v>3</v>
      </c>
      <c r="E151">
        <v>3</v>
      </c>
      <c r="F151">
        <v>3</v>
      </c>
      <c r="G151">
        <v>3</v>
      </c>
      <c r="H151">
        <v>3</v>
      </c>
      <c r="I151">
        <v>3</v>
      </c>
      <c r="J151">
        <v>2</v>
      </c>
      <c r="K151">
        <v>2</v>
      </c>
      <c r="L151">
        <v>3</v>
      </c>
      <c r="M151">
        <v>3</v>
      </c>
      <c r="N151">
        <v>2</v>
      </c>
      <c r="O151">
        <v>0</v>
      </c>
      <c r="P151">
        <v>1</v>
      </c>
      <c r="Q151">
        <v>2</v>
      </c>
      <c r="R151">
        <v>74.13</v>
      </c>
      <c r="S151">
        <v>25886.612000000001</v>
      </c>
      <c r="T151" s="1">
        <f t="shared" si="51"/>
        <v>0.85909272329650554</v>
      </c>
      <c r="U151" s="1">
        <f t="shared" si="52"/>
        <v>0.85909272329650554</v>
      </c>
      <c r="V151" s="1">
        <f t="shared" si="53"/>
        <v>0.85909272329650554</v>
      </c>
      <c r="W151" s="1">
        <f t="shared" si="54"/>
        <v>0.85909272329650554</v>
      </c>
      <c r="X151" s="1">
        <f t="shared" si="55"/>
        <v>0.85909272329650554</v>
      </c>
      <c r="Y151" s="1">
        <f t="shared" si="64"/>
        <v>0.85909272329650554</v>
      </c>
      <c r="Z151" s="1">
        <f t="shared" si="65"/>
        <v>0.85909272329650554</v>
      </c>
      <c r="AA151" s="1">
        <f t="shared" si="56"/>
        <v>0.57272848219767036</v>
      </c>
      <c r="AB151" s="1">
        <f t="shared" si="57"/>
        <v>0.57272848219767036</v>
      </c>
      <c r="AC151" s="1">
        <f t="shared" si="58"/>
        <v>0.85909272329650554</v>
      </c>
      <c r="AD151" s="1">
        <f t="shared" si="59"/>
        <v>0.85909272329650554</v>
      </c>
      <c r="AE151" s="1">
        <f t="shared" si="60"/>
        <v>0.57272848219767036</v>
      </c>
      <c r="AF151" s="1">
        <f t="shared" si="61"/>
        <v>0</v>
      </c>
      <c r="AG151" s="1">
        <f t="shared" si="62"/>
        <v>0.28636424109883518</v>
      </c>
      <c r="AH151" s="1">
        <f t="shared" si="63"/>
        <v>0.57272848219767036</v>
      </c>
      <c r="AI151" s="1">
        <f t="shared" si="66"/>
        <v>0.85909272329650554</v>
      </c>
      <c r="AJ151" s="1">
        <f t="shared" si="67"/>
        <v>0.85909272329650554</v>
      </c>
      <c r="AK151" s="1">
        <f t="shared" si="68"/>
        <v>0.85909272329650543</v>
      </c>
      <c r="AL151" s="1">
        <f t="shared" si="69"/>
        <v>0.57272848219767036</v>
      </c>
      <c r="AM151" s="1">
        <f t="shared" si="70"/>
        <v>0.85909272329650554</v>
      </c>
      <c r="AN151" s="1">
        <f t="shared" si="71"/>
        <v>0.71591060274708795</v>
      </c>
      <c r="AO151" s="1">
        <f t="shared" si="72"/>
        <v>0.28636424109883518</v>
      </c>
    </row>
    <row r="152" spans="1:41" x14ac:dyDescent="0.2">
      <c r="A152">
        <v>150</v>
      </c>
      <c r="B152" t="s">
        <v>67</v>
      </c>
      <c r="C152">
        <v>2</v>
      </c>
      <c r="D152">
        <v>2</v>
      </c>
      <c r="E152">
        <v>3</v>
      </c>
      <c r="F152">
        <v>3</v>
      </c>
      <c r="G152">
        <v>3</v>
      </c>
      <c r="H152">
        <v>3</v>
      </c>
      <c r="I152">
        <v>2</v>
      </c>
      <c r="J152">
        <v>2</v>
      </c>
      <c r="K152">
        <v>0</v>
      </c>
      <c r="L152">
        <v>1</v>
      </c>
      <c r="M152">
        <v>3</v>
      </c>
      <c r="N152">
        <v>2</v>
      </c>
      <c r="O152">
        <v>2</v>
      </c>
      <c r="P152">
        <v>2</v>
      </c>
      <c r="Q152">
        <v>0</v>
      </c>
      <c r="R152">
        <v>139.72999999999999</v>
      </c>
      <c r="S152">
        <v>25886.612000000001</v>
      </c>
      <c r="T152" s="1">
        <f t="shared" si="51"/>
        <v>1.0795541726356463</v>
      </c>
      <c r="U152" s="1">
        <f t="shared" si="52"/>
        <v>1.0795541726356463</v>
      </c>
      <c r="V152" s="1">
        <f t="shared" si="53"/>
        <v>1.6193312589534696</v>
      </c>
      <c r="W152" s="1">
        <f t="shared" si="54"/>
        <v>1.6193312589534696</v>
      </c>
      <c r="X152" s="1">
        <f t="shared" si="55"/>
        <v>1.6193312589534696</v>
      </c>
      <c r="Y152" s="1">
        <f t="shared" si="64"/>
        <v>1.6193312589534696</v>
      </c>
      <c r="Z152" s="1">
        <f t="shared" si="65"/>
        <v>1.0795541726356463</v>
      </c>
      <c r="AA152" s="1">
        <f t="shared" si="56"/>
        <v>1.0795541726356463</v>
      </c>
      <c r="AB152" s="1">
        <f t="shared" si="57"/>
        <v>0</v>
      </c>
      <c r="AC152" s="1">
        <f t="shared" si="58"/>
        <v>0.53977708631782317</v>
      </c>
      <c r="AD152" s="1">
        <f t="shared" si="59"/>
        <v>1.6193312589534696</v>
      </c>
      <c r="AE152" s="1">
        <f t="shared" si="60"/>
        <v>1.0795541726356463</v>
      </c>
      <c r="AF152" s="1">
        <f t="shared" si="61"/>
        <v>1.0795541726356463</v>
      </c>
      <c r="AG152" s="1">
        <f t="shared" si="62"/>
        <v>1.0795541726356463</v>
      </c>
      <c r="AH152" s="1">
        <f t="shared" si="63"/>
        <v>0</v>
      </c>
      <c r="AI152" s="1">
        <f t="shared" si="66"/>
        <v>1.0795541726356463</v>
      </c>
      <c r="AJ152" s="1">
        <f t="shared" si="67"/>
        <v>1.6193312589534696</v>
      </c>
      <c r="AK152" s="1">
        <f t="shared" si="68"/>
        <v>1.4394055635141951</v>
      </c>
      <c r="AL152" s="1">
        <f t="shared" si="69"/>
        <v>0.53977708631782317</v>
      </c>
      <c r="AM152" s="1">
        <f t="shared" si="70"/>
        <v>0.53977708631782317</v>
      </c>
      <c r="AN152" s="1">
        <f t="shared" si="71"/>
        <v>1.3494427157945581</v>
      </c>
      <c r="AO152" s="1">
        <f t="shared" si="72"/>
        <v>0.71970278175709756</v>
      </c>
    </row>
    <row r="153" spans="1:41" x14ac:dyDescent="0.2">
      <c r="A153">
        <v>151</v>
      </c>
      <c r="B153" t="s">
        <v>68</v>
      </c>
      <c r="C153">
        <v>2</v>
      </c>
      <c r="D153">
        <v>2</v>
      </c>
      <c r="E153">
        <v>0</v>
      </c>
      <c r="F153">
        <v>3</v>
      </c>
      <c r="G153">
        <v>3</v>
      </c>
      <c r="H153">
        <v>3</v>
      </c>
      <c r="I153">
        <v>1</v>
      </c>
      <c r="J153">
        <v>1</v>
      </c>
      <c r="K153">
        <v>1</v>
      </c>
      <c r="L153">
        <v>2</v>
      </c>
      <c r="M153">
        <v>1</v>
      </c>
      <c r="N153">
        <v>2</v>
      </c>
      <c r="O153">
        <v>2</v>
      </c>
      <c r="P153">
        <v>2</v>
      </c>
      <c r="Q153">
        <v>0</v>
      </c>
      <c r="R153">
        <v>189.964</v>
      </c>
      <c r="S153">
        <v>25886.612000000001</v>
      </c>
      <c r="T153" s="1">
        <f t="shared" si="51"/>
        <v>1.4676621258896299</v>
      </c>
      <c r="U153" s="1">
        <f t="shared" si="52"/>
        <v>1.4676621258896299</v>
      </c>
      <c r="V153" s="1">
        <f t="shared" si="53"/>
        <v>0</v>
      </c>
      <c r="W153" s="1">
        <f t="shared" si="54"/>
        <v>2.2014931888344447</v>
      </c>
      <c r="X153" s="1">
        <f t="shared" si="55"/>
        <v>2.2014931888344447</v>
      </c>
      <c r="Y153" s="1">
        <f t="shared" si="64"/>
        <v>2.2014931888344447</v>
      </c>
      <c r="Z153" s="1">
        <f t="shared" si="65"/>
        <v>0.73383106294481493</v>
      </c>
      <c r="AA153" s="1">
        <f t="shared" si="56"/>
        <v>0.73383106294481493</v>
      </c>
      <c r="AB153" s="1">
        <f t="shared" si="57"/>
        <v>0.73383106294481493</v>
      </c>
      <c r="AC153" s="1">
        <f t="shared" si="58"/>
        <v>1.4676621258896299</v>
      </c>
      <c r="AD153" s="1">
        <f t="shared" si="59"/>
        <v>0.73383106294481493</v>
      </c>
      <c r="AE153" s="1">
        <f t="shared" si="60"/>
        <v>1.4676621258896299</v>
      </c>
      <c r="AF153" s="1">
        <f t="shared" si="61"/>
        <v>1.4676621258896299</v>
      </c>
      <c r="AG153" s="1">
        <f t="shared" si="62"/>
        <v>1.4676621258896299</v>
      </c>
      <c r="AH153" s="1">
        <f t="shared" si="63"/>
        <v>0</v>
      </c>
      <c r="AI153" s="1">
        <f t="shared" si="66"/>
        <v>1.4676621258896299</v>
      </c>
      <c r="AJ153" s="1">
        <f t="shared" si="67"/>
        <v>1.1007465944172223</v>
      </c>
      <c r="AK153" s="1">
        <f t="shared" si="68"/>
        <v>1.7122724802045681</v>
      </c>
      <c r="AL153" s="1">
        <f t="shared" si="69"/>
        <v>0.73383106294481493</v>
      </c>
      <c r="AM153" s="1">
        <f t="shared" si="70"/>
        <v>1.4676621258896299</v>
      </c>
      <c r="AN153" s="1">
        <f t="shared" si="71"/>
        <v>1.1007465944172223</v>
      </c>
      <c r="AO153" s="1">
        <f t="shared" si="72"/>
        <v>0.9784414172597532</v>
      </c>
    </row>
    <row r="154" spans="1:41" x14ac:dyDescent="0.2">
      <c r="A154">
        <v>152</v>
      </c>
      <c r="B154" t="s">
        <v>69</v>
      </c>
      <c r="C154">
        <v>3</v>
      </c>
      <c r="D154">
        <v>2</v>
      </c>
      <c r="E154">
        <v>3</v>
      </c>
      <c r="F154">
        <v>3</v>
      </c>
      <c r="G154">
        <v>3</v>
      </c>
      <c r="H154">
        <v>3</v>
      </c>
      <c r="I154">
        <v>2</v>
      </c>
      <c r="J154">
        <v>1</v>
      </c>
      <c r="K154">
        <v>0</v>
      </c>
      <c r="L154">
        <v>2</v>
      </c>
      <c r="M154">
        <v>3</v>
      </c>
      <c r="N154">
        <v>3</v>
      </c>
      <c r="O154">
        <v>2</v>
      </c>
      <c r="P154">
        <v>1</v>
      </c>
      <c r="Q154">
        <v>0</v>
      </c>
      <c r="R154">
        <v>127.254</v>
      </c>
      <c r="S154">
        <v>25886.612000000001</v>
      </c>
      <c r="T154" s="1">
        <f t="shared" si="51"/>
        <v>1.4747468691538312</v>
      </c>
      <c r="U154" s="1">
        <f t="shared" si="52"/>
        <v>0.98316457943588753</v>
      </c>
      <c r="V154" s="1">
        <f t="shared" si="53"/>
        <v>1.4747468691538312</v>
      </c>
      <c r="W154" s="1">
        <f t="shared" si="54"/>
        <v>1.4747468691538312</v>
      </c>
      <c r="X154" s="1">
        <f t="shared" si="55"/>
        <v>1.4747468691538312</v>
      </c>
      <c r="Y154" s="1">
        <f t="shared" si="64"/>
        <v>1.4747468691538312</v>
      </c>
      <c r="Z154" s="1">
        <f t="shared" si="65"/>
        <v>0.98316457943588753</v>
      </c>
      <c r="AA154" s="1">
        <f t="shared" si="56"/>
        <v>0.49158228971794377</v>
      </c>
      <c r="AB154" s="1">
        <f t="shared" si="57"/>
        <v>0</v>
      </c>
      <c r="AC154" s="1">
        <f t="shared" si="58"/>
        <v>0.98316457943588753</v>
      </c>
      <c r="AD154" s="1">
        <f t="shared" si="59"/>
        <v>1.4747468691538312</v>
      </c>
      <c r="AE154" s="1">
        <f t="shared" si="60"/>
        <v>1.4747468691538312</v>
      </c>
      <c r="AF154" s="1">
        <f t="shared" si="61"/>
        <v>0.98316457943588753</v>
      </c>
      <c r="AG154" s="1">
        <f t="shared" si="62"/>
        <v>0.49158228971794377</v>
      </c>
      <c r="AH154" s="1">
        <f t="shared" si="63"/>
        <v>0</v>
      </c>
      <c r="AI154" s="1">
        <f t="shared" si="66"/>
        <v>1.2289557242948594</v>
      </c>
      <c r="AJ154" s="1">
        <f t="shared" si="67"/>
        <v>1.4747468691538312</v>
      </c>
      <c r="AK154" s="1">
        <f t="shared" si="68"/>
        <v>1.3108861059145167</v>
      </c>
      <c r="AL154" s="1">
        <f t="shared" si="69"/>
        <v>0.24579114485897188</v>
      </c>
      <c r="AM154" s="1">
        <f t="shared" si="70"/>
        <v>0.98316457943588753</v>
      </c>
      <c r="AN154" s="1">
        <f t="shared" si="71"/>
        <v>1.4747468691538312</v>
      </c>
      <c r="AO154" s="1">
        <f t="shared" si="72"/>
        <v>0.49158228971794377</v>
      </c>
    </row>
    <row r="155" spans="1:41" x14ac:dyDescent="0.2">
      <c r="A155">
        <v>153</v>
      </c>
      <c r="B155" t="s">
        <v>67</v>
      </c>
      <c r="C155">
        <v>1</v>
      </c>
      <c r="D155">
        <v>2</v>
      </c>
      <c r="E155">
        <v>3</v>
      </c>
      <c r="F155">
        <v>3</v>
      </c>
      <c r="G155">
        <v>2</v>
      </c>
      <c r="H155">
        <v>2</v>
      </c>
      <c r="I155">
        <v>3</v>
      </c>
      <c r="J155">
        <v>2</v>
      </c>
      <c r="K155">
        <v>0</v>
      </c>
      <c r="L155">
        <v>2</v>
      </c>
      <c r="M155">
        <v>3</v>
      </c>
      <c r="N155">
        <v>2</v>
      </c>
      <c r="O155">
        <v>2</v>
      </c>
      <c r="P155">
        <v>2</v>
      </c>
      <c r="Q155">
        <v>0</v>
      </c>
      <c r="R155">
        <v>60.69</v>
      </c>
      <c r="S155">
        <v>25886.612000000001</v>
      </c>
      <c r="T155" s="1">
        <f t="shared" si="51"/>
        <v>0.23444551183445711</v>
      </c>
      <c r="U155" s="1">
        <f t="shared" si="52"/>
        <v>0.46889102366891422</v>
      </c>
      <c r="V155" s="1">
        <f t="shared" si="53"/>
        <v>0.70333653550337139</v>
      </c>
      <c r="W155" s="1">
        <f t="shared" si="54"/>
        <v>0.70333653550337139</v>
      </c>
      <c r="X155" s="1">
        <f t="shared" si="55"/>
        <v>0.46889102366891422</v>
      </c>
      <c r="Y155" s="1">
        <f t="shared" si="64"/>
        <v>0.46889102366891422</v>
      </c>
      <c r="Z155" s="1">
        <f t="shared" si="65"/>
        <v>0.70333653550337139</v>
      </c>
      <c r="AA155" s="1">
        <f t="shared" si="56"/>
        <v>0.46889102366891422</v>
      </c>
      <c r="AB155" s="1">
        <f t="shared" si="57"/>
        <v>0</v>
      </c>
      <c r="AC155" s="1">
        <f t="shared" si="58"/>
        <v>0.46889102366891422</v>
      </c>
      <c r="AD155" s="1">
        <f t="shared" si="59"/>
        <v>0.70333653550337139</v>
      </c>
      <c r="AE155" s="1">
        <f t="shared" si="60"/>
        <v>0.46889102366891422</v>
      </c>
      <c r="AF155" s="1">
        <f t="shared" si="61"/>
        <v>0.46889102366891422</v>
      </c>
      <c r="AG155" s="1">
        <f t="shared" si="62"/>
        <v>0.46889102366891422</v>
      </c>
      <c r="AH155" s="1">
        <f t="shared" si="63"/>
        <v>0</v>
      </c>
      <c r="AI155" s="1">
        <f t="shared" si="66"/>
        <v>0.35166826775168569</v>
      </c>
      <c r="AJ155" s="1">
        <f t="shared" si="67"/>
        <v>0.70333653550337139</v>
      </c>
      <c r="AK155" s="1">
        <f t="shared" si="68"/>
        <v>0.54703952761373331</v>
      </c>
      <c r="AL155" s="1">
        <f t="shared" si="69"/>
        <v>0.23444551183445711</v>
      </c>
      <c r="AM155" s="1">
        <f t="shared" si="70"/>
        <v>0.46889102366891422</v>
      </c>
      <c r="AN155" s="1">
        <f t="shared" si="71"/>
        <v>0.58611377958614286</v>
      </c>
      <c r="AO155" s="1">
        <f t="shared" si="72"/>
        <v>0.31259401577927615</v>
      </c>
    </row>
    <row r="156" spans="1:41" x14ac:dyDescent="0.2">
      <c r="A156">
        <v>154</v>
      </c>
      <c r="B156" t="s">
        <v>57</v>
      </c>
      <c r="C156">
        <v>2</v>
      </c>
      <c r="D156">
        <v>2</v>
      </c>
      <c r="E156">
        <v>3</v>
      </c>
      <c r="F156">
        <v>3</v>
      </c>
      <c r="G156">
        <v>3</v>
      </c>
      <c r="H156">
        <v>3</v>
      </c>
      <c r="I156">
        <v>3</v>
      </c>
      <c r="J156">
        <v>1</v>
      </c>
      <c r="K156">
        <v>2</v>
      </c>
      <c r="L156">
        <v>2</v>
      </c>
      <c r="M156">
        <v>1</v>
      </c>
      <c r="N156">
        <v>1</v>
      </c>
      <c r="O156">
        <v>1</v>
      </c>
      <c r="P156">
        <v>2</v>
      </c>
      <c r="Q156">
        <v>0</v>
      </c>
      <c r="R156">
        <v>64.283000000000001</v>
      </c>
      <c r="S156">
        <v>25886.612000000001</v>
      </c>
      <c r="T156" s="1">
        <f t="shared" si="51"/>
        <v>0.49665054662232355</v>
      </c>
      <c r="U156" s="1">
        <f t="shared" si="52"/>
        <v>0.49665054662232355</v>
      </c>
      <c r="V156" s="1">
        <f t="shared" si="53"/>
        <v>0.74497581993348527</v>
      </c>
      <c r="W156" s="1">
        <f t="shared" si="54"/>
        <v>0.74497581993348527</v>
      </c>
      <c r="X156" s="1">
        <f t="shared" si="55"/>
        <v>0.74497581993348527</v>
      </c>
      <c r="Y156" s="1">
        <f t="shared" si="64"/>
        <v>0.74497581993348527</v>
      </c>
      <c r="Z156" s="1">
        <f t="shared" si="65"/>
        <v>0.74497581993348527</v>
      </c>
      <c r="AA156" s="1">
        <f t="shared" si="56"/>
        <v>0.24832527331116178</v>
      </c>
      <c r="AB156" s="1">
        <f t="shared" si="57"/>
        <v>0.49665054662232355</v>
      </c>
      <c r="AC156" s="1">
        <f t="shared" si="58"/>
        <v>0.49665054662232355</v>
      </c>
      <c r="AD156" s="1">
        <f t="shared" si="59"/>
        <v>0.24832527331116178</v>
      </c>
      <c r="AE156" s="1">
        <f t="shared" si="60"/>
        <v>0.24832527331116178</v>
      </c>
      <c r="AF156" s="1">
        <f t="shared" si="61"/>
        <v>0.24832527331116178</v>
      </c>
      <c r="AG156" s="1">
        <f t="shared" si="62"/>
        <v>0.49665054662232355</v>
      </c>
      <c r="AH156" s="1">
        <f t="shared" si="63"/>
        <v>0</v>
      </c>
      <c r="AI156" s="1">
        <f t="shared" si="66"/>
        <v>0.49665054662232355</v>
      </c>
      <c r="AJ156" s="1">
        <f t="shared" si="67"/>
        <v>0.74497581993348527</v>
      </c>
      <c r="AK156" s="1">
        <f t="shared" si="68"/>
        <v>0.74497581993348527</v>
      </c>
      <c r="AL156" s="1">
        <f t="shared" si="69"/>
        <v>0.37248790996674264</v>
      </c>
      <c r="AM156" s="1">
        <f t="shared" si="70"/>
        <v>0.49665054662232355</v>
      </c>
      <c r="AN156" s="1">
        <f t="shared" si="71"/>
        <v>0.24832527331116178</v>
      </c>
      <c r="AO156" s="1">
        <f t="shared" si="72"/>
        <v>0.24832527331116175</v>
      </c>
    </row>
    <row r="157" spans="1:41" x14ac:dyDescent="0.2">
      <c r="A157">
        <v>155</v>
      </c>
      <c r="B157" t="s">
        <v>29</v>
      </c>
      <c r="C157">
        <v>1</v>
      </c>
      <c r="D157">
        <v>1</v>
      </c>
      <c r="E157">
        <v>3</v>
      </c>
      <c r="F157">
        <v>3</v>
      </c>
      <c r="G157">
        <v>3</v>
      </c>
      <c r="H157">
        <v>2</v>
      </c>
      <c r="I157">
        <v>2</v>
      </c>
      <c r="J157">
        <v>1</v>
      </c>
      <c r="K157">
        <v>2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78.191000000000003</v>
      </c>
      <c r="S157">
        <v>25886.612000000001</v>
      </c>
      <c r="T157" s="1">
        <f t="shared" si="51"/>
        <v>0.30205188689813872</v>
      </c>
      <c r="U157" s="1">
        <f t="shared" si="52"/>
        <v>0.30205188689813872</v>
      </c>
      <c r="V157" s="1">
        <f t="shared" si="53"/>
        <v>0.90615566069441611</v>
      </c>
      <c r="W157" s="1">
        <f t="shared" si="54"/>
        <v>0.90615566069441611</v>
      </c>
      <c r="X157" s="1">
        <f t="shared" si="55"/>
        <v>0.90615566069441611</v>
      </c>
      <c r="Y157" s="1">
        <f t="shared" si="64"/>
        <v>0.60410377379627744</v>
      </c>
      <c r="Z157" s="1">
        <f t="shared" si="65"/>
        <v>0.60410377379627744</v>
      </c>
      <c r="AA157" s="1">
        <f t="shared" si="56"/>
        <v>0.30205188689813872</v>
      </c>
      <c r="AB157" s="1">
        <f t="shared" si="57"/>
        <v>0.60410377379627744</v>
      </c>
      <c r="AC157" s="1">
        <f t="shared" si="58"/>
        <v>0.30205188689813872</v>
      </c>
      <c r="AD157" s="1">
        <f t="shared" si="59"/>
        <v>0</v>
      </c>
      <c r="AE157" s="1">
        <f t="shared" si="60"/>
        <v>0.30205188689813872</v>
      </c>
      <c r="AF157" s="1">
        <f t="shared" si="61"/>
        <v>0.30205188689813872</v>
      </c>
      <c r="AG157" s="1">
        <f t="shared" si="62"/>
        <v>0</v>
      </c>
      <c r="AH157" s="1">
        <f t="shared" si="63"/>
        <v>0</v>
      </c>
      <c r="AI157" s="1">
        <f t="shared" si="66"/>
        <v>0.30205188689813872</v>
      </c>
      <c r="AJ157" s="1">
        <f t="shared" si="67"/>
        <v>0.90615566069441611</v>
      </c>
      <c r="AK157" s="1">
        <f t="shared" si="68"/>
        <v>0.70478773609565704</v>
      </c>
      <c r="AL157" s="1">
        <f t="shared" si="69"/>
        <v>0.45307783034720805</v>
      </c>
      <c r="AM157" s="1">
        <f t="shared" si="70"/>
        <v>0.30205188689813872</v>
      </c>
      <c r="AN157" s="1">
        <f t="shared" si="71"/>
        <v>0.15102594344906936</v>
      </c>
      <c r="AO157" s="1">
        <f t="shared" si="72"/>
        <v>0.10068396229937958</v>
      </c>
    </row>
    <row r="158" spans="1:41" x14ac:dyDescent="0.2">
      <c r="A158">
        <v>156</v>
      </c>
      <c r="B158" t="s">
        <v>29</v>
      </c>
      <c r="C158">
        <v>2</v>
      </c>
      <c r="D158">
        <v>2</v>
      </c>
      <c r="E158">
        <v>3</v>
      </c>
      <c r="F158">
        <v>3</v>
      </c>
      <c r="G158">
        <v>3</v>
      </c>
      <c r="H158">
        <v>3</v>
      </c>
      <c r="I158">
        <v>2</v>
      </c>
      <c r="J158">
        <v>1</v>
      </c>
      <c r="K158">
        <v>2</v>
      </c>
      <c r="L158">
        <v>2</v>
      </c>
      <c r="M158">
        <v>0</v>
      </c>
      <c r="N158">
        <v>1</v>
      </c>
      <c r="O158">
        <v>1</v>
      </c>
      <c r="P158">
        <v>2</v>
      </c>
      <c r="Q158">
        <v>1</v>
      </c>
      <c r="R158">
        <v>172.80799999999999</v>
      </c>
      <c r="S158">
        <v>25886.612000000001</v>
      </c>
      <c r="T158" s="1">
        <f t="shared" si="51"/>
        <v>1.335114846237893</v>
      </c>
      <c r="U158" s="1">
        <f t="shared" si="52"/>
        <v>1.335114846237893</v>
      </c>
      <c r="V158" s="1">
        <f t="shared" si="53"/>
        <v>2.0026722693568395</v>
      </c>
      <c r="W158" s="1">
        <f t="shared" si="54"/>
        <v>2.0026722693568395</v>
      </c>
      <c r="X158" s="1">
        <f t="shared" si="55"/>
        <v>2.0026722693568395</v>
      </c>
      <c r="Y158" s="1">
        <f t="shared" si="64"/>
        <v>2.0026722693568395</v>
      </c>
      <c r="Z158" s="1">
        <f t="shared" si="65"/>
        <v>1.335114846237893</v>
      </c>
      <c r="AA158" s="1">
        <f t="shared" si="56"/>
        <v>0.6675574231189465</v>
      </c>
      <c r="AB158" s="1">
        <f t="shared" si="57"/>
        <v>1.335114846237893</v>
      </c>
      <c r="AC158" s="1">
        <f t="shared" si="58"/>
        <v>1.335114846237893</v>
      </c>
      <c r="AD158" s="1">
        <f t="shared" si="59"/>
        <v>0</v>
      </c>
      <c r="AE158" s="1">
        <f t="shared" si="60"/>
        <v>0.6675574231189465</v>
      </c>
      <c r="AF158" s="1">
        <f t="shared" si="61"/>
        <v>0.6675574231189465</v>
      </c>
      <c r="AG158" s="1">
        <f t="shared" si="62"/>
        <v>1.335114846237893</v>
      </c>
      <c r="AH158" s="1">
        <f t="shared" si="63"/>
        <v>0.6675574231189465</v>
      </c>
      <c r="AI158" s="1">
        <f t="shared" si="66"/>
        <v>1.335114846237893</v>
      </c>
      <c r="AJ158" s="1">
        <f t="shared" si="67"/>
        <v>2.0026722693568395</v>
      </c>
      <c r="AK158" s="1">
        <f t="shared" si="68"/>
        <v>1.7801531283171907</v>
      </c>
      <c r="AL158" s="1">
        <f t="shared" si="69"/>
        <v>1.0013361346784198</v>
      </c>
      <c r="AM158" s="1">
        <f t="shared" si="70"/>
        <v>1.335114846237893</v>
      </c>
      <c r="AN158" s="1">
        <f t="shared" si="71"/>
        <v>0.33377871155947325</v>
      </c>
      <c r="AO158" s="1">
        <f t="shared" si="72"/>
        <v>0.89007656415859537</v>
      </c>
    </row>
    <row r="159" spans="1:41" x14ac:dyDescent="0.2">
      <c r="A159">
        <v>157</v>
      </c>
      <c r="B159" t="s">
        <v>72</v>
      </c>
      <c r="C159">
        <v>1</v>
      </c>
      <c r="D159">
        <v>1</v>
      </c>
      <c r="E159">
        <v>0</v>
      </c>
      <c r="F159">
        <v>3</v>
      </c>
      <c r="G159">
        <v>3</v>
      </c>
      <c r="H159">
        <v>3</v>
      </c>
      <c r="I159">
        <v>1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1</v>
      </c>
      <c r="Q159">
        <v>0</v>
      </c>
      <c r="R159">
        <v>153.08600000000001</v>
      </c>
      <c r="S159">
        <v>25886.612000000001</v>
      </c>
      <c r="T159" s="1">
        <f t="shared" si="51"/>
        <v>0.591371323524299</v>
      </c>
      <c r="U159" s="1">
        <f t="shared" si="52"/>
        <v>0.591371323524299</v>
      </c>
      <c r="V159" s="1">
        <f t="shared" si="53"/>
        <v>0</v>
      </c>
      <c r="W159" s="1">
        <f t="shared" si="54"/>
        <v>1.774113970572897</v>
      </c>
      <c r="X159" s="1">
        <f t="shared" si="55"/>
        <v>1.774113970572897</v>
      </c>
      <c r="Y159" s="1">
        <f t="shared" si="64"/>
        <v>1.774113970572897</v>
      </c>
      <c r="Z159" s="1">
        <f t="shared" si="65"/>
        <v>0.591371323524299</v>
      </c>
      <c r="AA159" s="1">
        <f t="shared" si="56"/>
        <v>0.591371323524299</v>
      </c>
      <c r="AB159" s="1">
        <f t="shared" si="57"/>
        <v>0</v>
      </c>
      <c r="AC159" s="1">
        <f t="shared" si="58"/>
        <v>0</v>
      </c>
      <c r="AD159" s="1">
        <f t="shared" si="59"/>
        <v>0</v>
      </c>
      <c r="AE159" s="1">
        <f t="shared" si="60"/>
        <v>0</v>
      </c>
      <c r="AF159" s="1">
        <f t="shared" si="61"/>
        <v>0.591371323524299</v>
      </c>
      <c r="AG159" s="1">
        <f t="shared" si="62"/>
        <v>0.591371323524299</v>
      </c>
      <c r="AH159" s="1">
        <f t="shared" si="63"/>
        <v>0</v>
      </c>
      <c r="AI159" s="1">
        <f t="shared" si="66"/>
        <v>0.591371323524299</v>
      </c>
      <c r="AJ159" s="1">
        <f t="shared" si="67"/>
        <v>0.8870569852864485</v>
      </c>
      <c r="AK159" s="1">
        <f t="shared" si="68"/>
        <v>1.3798664215566976</v>
      </c>
      <c r="AL159" s="1">
        <f t="shared" si="69"/>
        <v>0.2956856617621495</v>
      </c>
      <c r="AM159" s="1">
        <f t="shared" si="70"/>
        <v>0</v>
      </c>
      <c r="AN159" s="1">
        <f t="shared" si="71"/>
        <v>0</v>
      </c>
      <c r="AO159" s="1">
        <f t="shared" si="72"/>
        <v>0.39424754901619935</v>
      </c>
    </row>
    <row r="160" spans="1:41" x14ac:dyDescent="0.2">
      <c r="A160">
        <v>158</v>
      </c>
      <c r="B160" t="s">
        <v>72</v>
      </c>
      <c r="C160">
        <v>1</v>
      </c>
      <c r="D160">
        <v>1</v>
      </c>
      <c r="E160">
        <v>0</v>
      </c>
      <c r="F160">
        <v>3</v>
      </c>
      <c r="G160">
        <v>3</v>
      </c>
      <c r="H160">
        <v>3</v>
      </c>
      <c r="I160">
        <v>1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1</v>
      </c>
      <c r="Q160">
        <v>0</v>
      </c>
      <c r="R160">
        <v>1.9530000000000001</v>
      </c>
      <c r="S160">
        <v>25886.612000000001</v>
      </c>
      <c r="T160" s="1">
        <f t="shared" si="51"/>
        <v>7.5444403462299357E-3</v>
      </c>
      <c r="U160" s="1">
        <f t="shared" si="52"/>
        <v>7.5444403462299357E-3</v>
      </c>
      <c r="V160" s="1">
        <f t="shared" si="53"/>
        <v>0</v>
      </c>
      <c r="W160" s="1">
        <f t="shared" si="54"/>
        <v>2.2633321038689806E-2</v>
      </c>
      <c r="X160" s="1">
        <f t="shared" si="55"/>
        <v>2.2633321038689806E-2</v>
      </c>
      <c r="Y160" s="1">
        <f t="shared" si="64"/>
        <v>2.2633321038689806E-2</v>
      </c>
      <c r="Z160" s="1">
        <f t="shared" si="65"/>
        <v>7.5444403462299357E-3</v>
      </c>
      <c r="AA160" s="1">
        <f t="shared" si="56"/>
        <v>7.5444403462299357E-3</v>
      </c>
      <c r="AB160" s="1">
        <f t="shared" si="57"/>
        <v>0</v>
      </c>
      <c r="AC160" s="1">
        <f t="shared" si="58"/>
        <v>0</v>
      </c>
      <c r="AD160" s="1">
        <f t="shared" si="59"/>
        <v>0</v>
      </c>
      <c r="AE160" s="1">
        <f t="shared" si="60"/>
        <v>0</v>
      </c>
      <c r="AF160" s="1">
        <f t="shared" si="61"/>
        <v>7.5444403462299357E-3</v>
      </c>
      <c r="AG160" s="1">
        <f t="shared" si="62"/>
        <v>7.5444403462299357E-3</v>
      </c>
      <c r="AH160" s="1">
        <f t="shared" si="63"/>
        <v>0</v>
      </c>
      <c r="AI160" s="1">
        <f t="shared" si="66"/>
        <v>7.5444403462299357E-3</v>
      </c>
      <c r="AJ160" s="1">
        <f t="shared" si="67"/>
        <v>1.1316660519344903E-2</v>
      </c>
      <c r="AK160" s="1">
        <f t="shared" si="68"/>
        <v>1.7603694141203181E-2</v>
      </c>
      <c r="AL160" s="1">
        <f t="shared" si="69"/>
        <v>3.7722201731149678E-3</v>
      </c>
      <c r="AM160" s="1">
        <f t="shared" si="70"/>
        <v>0</v>
      </c>
      <c r="AN160" s="1">
        <f t="shared" si="71"/>
        <v>0</v>
      </c>
      <c r="AO160" s="1">
        <f t="shared" si="72"/>
        <v>5.0296268974866238E-3</v>
      </c>
    </row>
    <row r="161" spans="1:41" x14ac:dyDescent="0.2">
      <c r="A161">
        <v>159</v>
      </c>
      <c r="B161" t="s">
        <v>73</v>
      </c>
      <c r="C161">
        <v>2</v>
      </c>
      <c r="D161">
        <v>2</v>
      </c>
      <c r="E161">
        <v>3</v>
      </c>
      <c r="F161">
        <v>3</v>
      </c>
      <c r="G161">
        <v>3</v>
      </c>
      <c r="H161">
        <v>3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  <c r="O161">
        <v>0</v>
      </c>
      <c r="P161">
        <v>2</v>
      </c>
      <c r="Q161">
        <v>0</v>
      </c>
      <c r="R161">
        <v>32.018000000000001</v>
      </c>
      <c r="S161">
        <v>25886.612000000001</v>
      </c>
      <c r="T161" s="1">
        <f t="shared" si="51"/>
        <v>0.24737111214090127</v>
      </c>
      <c r="U161" s="1">
        <f t="shared" si="52"/>
        <v>0.24737111214090127</v>
      </c>
      <c r="V161" s="1">
        <f t="shared" si="53"/>
        <v>0.37105666821135191</v>
      </c>
      <c r="W161" s="1">
        <f t="shared" si="54"/>
        <v>0.37105666821135191</v>
      </c>
      <c r="X161" s="1">
        <f t="shared" si="55"/>
        <v>0.37105666821135191</v>
      </c>
      <c r="Y161" s="1">
        <f t="shared" si="64"/>
        <v>0.37105666821135191</v>
      </c>
      <c r="Z161" s="1">
        <f t="shared" si="65"/>
        <v>0</v>
      </c>
      <c r="AA161" s="1">
        <f t="shared" si="56"/>
        <v>0.12368555607045063</v>
      </c>
      <c r="AB161" s="1">
        <f t="shared" si="57"/>
        <v>0</v>
      </c>
      <c r="AC161" s="1">
        <f t="shared" si="58"/>
        <v>0.12368555607045063</v>
      </c>
      <c r="AD161" s="1">
        <f t="shared" si="59"/>
        <v>0</v>
      </c>
      <c r="AE161" s="1">
        <f t="shared" si="60"/>
        <v>0</v>
      </c>
      <c r="AF161" s="1">
        <f t="shared" si="61"/>
        <v>0</v>
      </c>
      <c r="AG161" s="1">
        <f t="shared" si="62"/>
        <v>0.24737111214090127</v>
      </c>
      <c r="AH161" s="1">
        <f t="shared" si="63"/>
        <v>0</v>
      </c>
      <c r="AI161" s="1">
        <f t="shared" si="66"/>
        <v>0.24737111214090127</v>
      </c>
      <c r="AJ161" s="1">
        <f t="shared" si="67"/>
        <v>0.37105666821135191</v>
      </c>
      <c r="AK161" s="1">
        <f t="shared" si="68"/>
        <v>0.24737111214090127</v>
      </c>
      <c r="AL161" s="1">
        <f t="shared" si="69"/>
        <v>6.1842778035225317E-2</v>
      </c>
      <c r="AM161" s="1">
        <f t="shared" si="70"/>
        <v>0.12368555607045063</v>
      </c>
      <c r="AN161" s="1">
        <f t="shared" si="71"/>
        <v>0</v>
      </c>
      <c r="AO161" s="1">
        <f t="shared" si="72"/>
        <v>8.2457037380300427E-2</v>
      </c>
    </row>
    <row r="162" spans="1:41" x14ac:dyDescent="0.2">
      <c r="A162">
        <v>160</v>
      </c>
      <c r="B162" t="s">
        <v>57</v>
      </c>
      <c r="C162">
        <v>2</v>
      </c>
      <c r="D162">
        <v>2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1</v>
      </c>
      <c r="K162">
        <v>2</v>
      </c>
      <c r="L162">
        <v>2</v>
      </c>
      <c r="M162">
        <v>1</v>
      </c>
      <c r="N162">
        <v>2</v>
      </c>
      <c r="O162">
        <v>2</v>
      </c>
      <c r="P162">
        <v>1</v>
      </c>
      <c r="Q162">
        <v>1</v>
      </c>
      <c r="R162">
        <v>61.74</v>
      </c>
      <c r="S162">
        <v>25886.612000000001</v>
      </c>
      <c r="T162" s="1">
        <f t="shared" si="51"/>
        <v>0.47700332511647331</v>
      </c>
      <c r="U162" s="1">
        <f t="shared" si="52"/>
        <v>0.47700332511647331</v>
      </c>
      <c r="V162" s="1">
        <f t="shared" si="53"/>
        <v>0.71550498767470994</v>
      </c>
      <c r="W162" s="1">
        <f t="shared" si="54"/>
        <v>0.71550498767470994</v>
      </c>
      <c r="X162" s="1">
        <f t="shared" si="55"/>
        <v>0.71550498767470994</v>
      </c>
      <c r="Y162" s="1">
        <f t="shared" si="64"/>
        <v>0.71550498767470994</v>
      </c>
      <c r="Z162" s="1">
        <f t="shared" si="65"/>
        <v>0.71550498767470994</v>
      </c>
      <c r="AA162" s="1">
        <f t="shared" si="56"/>
        <v>0.23850166255823665</v>
      </c>
      <c r="AB162" s="1">
        <f t="shared" si="57"/>
        <v>0.47700332511647331</v>
      </c>
      <c r="AC162" s="1">
        <f t="shared" si="58"/>
        <v>0.47700332511647331</v>
      </c>
      <c r="AD162" s="1">
        <f t="shared" si="59"/>
        <v>0.23850166255823665</v>
      </c>
      <c r="AE162" s="1">
        <f t="shared" si="60"/>
        <v>0.47700332511647331</v>
      </c>
      <c r="AF162" s="1">
        <f t="shared" si="61"/>
        <v>0.47700332511647331</v>
      </c>
      <c r="AG162" s="1">
        <f t="shared" si="62"/>
        <v>0.23850166255823665</v>
      </c>
      <c r="AH162" s="1">
        <f t="shared" si="63"/>
        <v>0.23850166255823665</v>
      </c>
      <c r="AI162" s="1">
        <f t="shared" si="66"/>
        <v>0.47700332511647331</v>
      </c>
      <c r="AJ162" s="1">
        <f t="shared" si="67"/>
        <v>0.71550498767470994</v>
      </c>
      <c r="AK162" s="1">
        <f t="shared" si="68"/>
        <v>0.71550498767470982</v>
      </c>
      <c r="AL162" s="1">
        <f t="shared" si="69"/>
        <v>0.35775249383735497</v>
      </c>
      <c r="AM162" s="1">
        <f t="shared" si="70"/>
        <v>0.47700332511647331</v>
      </c>
      <c r="AN162" s="1">
        <f t="shared" si="71"/>
        <v>0.35775249383735497</v>
      </c>
      <c r="AO162" s="1">
        <f t="shared" si="72"/>
        <v>0.31800221674431556</v>
      </c>
    </row>
    <row r="163" spans="1:41" x14ac:dyDescent="0.2">
      <c r="A163">
        <v>161</v>
      </c>
      <c r="B163" t="s">
        <v>67</v>
      </c>
      <c r="C163">
        <v>2</v>
      </c>
      <c r="D163">
        <v>2</v>
      </c>
      <c r="E163">
        <v>1</v>
      </c>
      <c r="F163">
        <v>3</v>
      </c>
      <c r="G163">
        <v>3</v>
      </c>
      <c r="H163">
        <v>2</v>
      </c>
      <c r="I163">
        <v>1</v>
      </c>
      <c r="J163">
        <v>2</v>
      </c>
      <c r="K163">
        <v>0</v>
      </c>
      <c r="L163">
        <v>2</v>
      </c>
      <c r="M163">
        <v>3</v>
      </c>
      <c r="N163">
        <v>2</v>
      </c>
      <c r="O163">
        <v>1</v>
      </c>
      <c r="P163">
        <v>2</v>
      </c>
      <c r="Q163">
        <v>0</v>
      </c>
      <c r="R163">
        <v>210.43799999999999</v>
      </c>
      <c r="S163">
        <v>25886.612000000001</v>
      </c>
      <c r="T163" s="1">
        <f t="shared" si="51"/>
        <v>1.6258442781156528</v>
      </c>
      <c r="U163" s="1">
        <f t="shared" si="52"/>
        <v>1.6258442781156528</v>
      </c>
      <c r="V163" s="1">
        <f t="shared" si="53"/>
        <v>0.8129221390578264</v>
      </c>
      <c r="W163" s="1">
        <f t="shared" si="54"/>
        <v>2.4387664171734791</v>
      </c>
      <c r="X163" s="1">
        <f t="shared" si="55"/>
        <v>2.4387664171734791</v>
      </c>
      <c r="Y163" s="1">
        <f t="shared" si="64"/>
        <v>1.6258442781156528</v>
      </c>
      <c r="Z163" s="1">
        <f t="shared" si="65"/>
        <v>0.8129221390578264</v>
      </c>
      <c r="AA163" s="1">
        <f t="shared" si="56"/>
        <v>1.6258442781156528</v>
      </c>
      <c r="AB163" s="1">
        <f t="shared" si="57"/>
        <v>0</v>
      </c>
      <c r="AC163" s="1">
        <f t="shared" si="58"/>
        <v>1.6258442781156528</v>
      </c>
      <c r="AD163" s="1">
        <f t="shared" si="59"/>
        <v>2.4387664171734791</v>
      </c>
      <c r="AE163" s="1">
        <f t="shared" si="60"/>
        <v>1.6258442781156528</v>
      </c>
      <c r="AF163" s="1">
        <f t="shared" si="61"/>
        <v>0.8129221390578264</v>
      </c>
      <c r="AG163" s="1">
        <f t="shared" si="62"/>
        <v>1.6258442781156528</v>
      </c>
      <c r="AH163" s="1">
        <f t="shared" si="63"/>
        <v>0</v>
      </c>
      <c r="AI163" s="1">
        <f t="shared" si="66"/>
        <v>1.6258442781156528</v>
      </c>
      <c r="AJ163" s="1">
        <f t="shared" si="67"/>
        <v>1.6258442781156528</v>
      </c>
      <c r="AK163" s="1">
        <f t="shared" si="68"/>
        <v>1.6258442781156528</v>
      </c>
      <c r="AL163" s="1">
        <f t="shared" si="69"/>
        <v>0.8129221390578264</v>
      </c>
      <c r="AM163" s="1">
        <f t="shared" si="70"/>
        <v>1.6258442781156528</v>
      </c>
      <c r="AN163" s="1">
        <f t="shared" si="71"/>
        <v>2.0323053476445661</v>
      </c>
      <c r="AO163" s="1">
        <f t="shared" si="72"/>
        <v>0.8129221390578264</v>
      </c>
    </row>
    <row r="164" spans="1:41" x14ac:dyDescent="0.2">
      <c r="A164">
        <v>162</v>
      </c>
      <c r="B164" t="s">
        <v>59</v>
      </c>
      <c r="C164">
        <v>1</v>
      </c>
      <c r="D164">
        <v>2</v>
      </c>
      <c r="E164">
        <v>3</v>
      </c>
      <c r="F164">
        <v>3</v>
      </c>
      <c r="G164">
        <v>3</v>
      </c>
      <c r="H164">
        <v>3</v>
      </c>
      <c r="I164">
        <v>3</v>
      </c>
      <c r="J164">
        <v>2</v>
      </c>
      <c r="K164">
        <v>0</v>
      </c>
      <c r="L164">
        <v>1</v>
      </c>
      <c r="M164">
        <v>2</v>
      </c>
      <c r="N164">
        <v>2</v>
      </c>
      <c r="O164">
        <v>1</v>
      </c>
      <c r="P164">
        <v>1</v>
      </c>
      <c r="Q164">
        <v>0</v>
      </c>
      <c r="R164">
        <v>182.21899999999999</v>
      </c>
      <c r="S164">
        <v>25886.612000000001</v>
      </c>
      <c r="T164" s="1">
        <f t="shared" si="51"/>
        <v>0.70391212260607905</v>
      </c>
      <c r="U164" s="1">
        <f t="shared" si="52"/>
        <v>1.4078242452121581</v>
      </c>
      <c r="V164" s="1">
        <f t="shared" si="53"/>
        <v>2.1117363678182373</v>
      </c>
      <c r="W164" s="1">
        <f t="shared" si="54"/>
        <v>2.1117363678182373</v>
      </c>
      <c r="X164" s="1">
        <f t="shared" si="55"/>
        <v>2.1117363678182373</v>
      </c>
      <c r="Y164" s="1">
        <f t="shared" si="64"/>
        <v>2.1117363678182373</v>
      </c>
      <c r="Z164" s="1">
        <f t="shared" si="65"/>
        <v>2.1117363678182373</v>
      </c>
      <c r="AA164" s="1">
        <f t="shared" si="56"/>
        <v>1.4078242452121581</v>
      </c>
      <c r="AB164" s="1">
        <f t="shared" si="57"/>
        <v>0</v>
      </c>
      <c r="AC164" s="1">
        <f t="shared" si="58"/>
        <v>0.70391212260607905</v>
      </c>
      <c r="AD164" s="1">
        <f t="shared" si="59"/>
        <v>1.4078242452121581</v>
      </c>
      <c r="AE164" s="1">
        <f t="shared" si="60"/>
        <v>1.4078242452121581</v>
      </c>
      <c r="AF164" s="1">
        <f t="shared" si="61"/>
        <v>0.70391212260607905</v>
      </c>
      <c r="AG164" s="1">
        <f t="shared" si="62"/>
        <v>0.70391212260607905</v>
      </c>
      <c r="AH164" s="1">
        <f t="shared" si="63"/>
        <v>0</v>
      </c>
      <c r="AI164" s="1">
        <f t="shared" si="66"/>
        <v>1.0558681839091186</v>
      </c>
      <c r="AJ164" s="1">
        <f t="shared" si="67"/>
        <v>2.1117363678182373</v>
      </c>
      <c r="AK164" s="1">
        <f t="shared" si="68"/>
        <v>2.1117363678182373</v>
      </c>
      <c r="AL164" s="1">
        <f t="shared" si="69"/>
        <v>0.70391212260607905</v>
      </c>
      <c r="AM164" s="1">
        <f t="shared" si="70"/>
        <v>0.70391212260607905</v>
      </c>
      <c r="AN164" s="1">
        <f t="shared" si="71"/>
        <v>1.4078242452121581</v>
      </c>
      <c r="AO164" s="1">
        <f t="shared" si="72"/>
        <v>0.4692747484040527</v>
      </c>
    </row>
    <row r="165" spans="1:41" x14ac:dyDescent="0.2">
      <c r="A165">
        <v>163</v>
      </c>
      <c r="B165" t="s">
        <v>42</v>
      </c>
      <c r="C165">
        <v>1</v>
      </c>
      <c r="D165">
        <v>3</v>
      </c>
      <c r="E165">
        <v>3</v>
      </c>
      <c r="F165">
        <v>3</v>
      </c>
      <c r="G165">
        <v>3</v>
      </c>
      <c r="H165">
        <v>2</v>
      </c>
      <c r="I165">
        <v>1</v>
      </c>
      <c r="J165">
        <v>1</v>
      </c>
      <c r="K165">
        <v>1</v>
      </c>
      <c r="L165">
        <v>2</v>
      </c>
      <c r="M165">
        <v>3</v>
      </c>
      <c r="N165">
        <v>2</v>
      </c>
      <c r="O165">
        <v>2</v>
      </c>
      <c r="P165">
        <v>1</v>
      </c>
      <c r="Q165">
        <v>0</v>
      </c>
      <c r="R165">
        <v>159.66999999999999</v>
      </c>
      <c r="S165">
        <v>25886.612000000001</v>
      </c>
      <c r="T165" s="1">
        <f t="shared" si="51"/>
        <v>0.61680532006274125</v>
      </c>
      <c r="U165" s="1">
        <f t="shared" si="52"/>
        <v>1.8504159601882237</v>
      </c>
      <c r="V165" s="1">
        <f t="shared" si="53"/>
        <v>1.8504159601882237</v>
      </c>
      <c r="W165" s="1">
        <f t="shared" si="54"/>
        <v>1.8504159601882237</v>
      </c>
      <c r="X165" s="1">
        <f t="shared" si="55"/>
        <v>1.8504159601882237</v>
      </c>
      <c r="Y165" s="1">
        <f t="shared" si="64"/>
        <v>1.2336106401254825</v>
      </c>
      <c r="Z165" s="1">
        <f t="shared" si="65"/>
        <v>0.61680532006274125</v>
      </c>
      <c r="AA165" s="1">
        <f t="shared" si="56"/>
        <v>0.61680532006274125</v>
      </c>
      <c r="AB165" s="1">
        <f t="shared" si="57"/>
        <v>0.61680532006274125</v>
      </c>
      <c r="AC165" s="1">
        <f t="shared" si="58"/>
        <v>1.2336106401254825</v>
      </c>
      <c r="AD165" s="1">
        <f t="shared" si="59"/>
        <v>1.8504159601882237</v>
      </c>
      <c r="AE165" s="1">
        <f t="shared" si="60"/>
        <v>1.2336106401254825</v>
      </c>
      <c r="AF165" s="1">
        <f t="shared" si="61"/>
        <v>1.2336106401254825</v>
      </c>
      <c r="AG165" s="1">
        <f t="shared" si="62"/>
        <v>0.61680532006274125</v>
      </c>
      <c r="AH165" s="1">
        <f t="shared" si="63"/>
        <v>0</v>
      </c>
      <c r="AI165" s="1">
        <f t="shared" si="66"/>
        <v>1.2336106401254825</v>
      </c>
      <c r="AJ165" s="1">
        <f t="shared" si="67"/>
        <v>1.8504159601882237</v>
      </c>
      <c r="AK165" s="1">
        <f t="shared" si="68"/>
        <v>1.2336106401254823</v>
      </c>
      <c r="AL165" s="1">
        <f t="shared" si="69"/>
        <v>0.61680532006274125</v>
      </c>
      <c r="AM165" s="1">
        <f t="shared" si="70"/>
        <v>1.2336106401254825</v>
      </c>
      <c r="AN165" s="1">
        <f t="shared" si="71"/>
        <v>1.542013300156853</v>
      </c>
      <c r="AO165" s="1">
        <f t="shared" si="72"/>
        <v>0.61680532006274125</v>
      </c>
    </row>
    <row r="166" spans="1:41" x14ac:dyDescent="0.2">
      <c r="A166">
        <v>164</v>
      </c>
      <c r="B166" t="s">
        <v>42</v>
      </c>
      <c r="C166">
        <v>2</v>
      </c>
      <c r="D166">
        <v>3</v>
      </c>
      <c r="E166">
        <v>0</v>
      </c>
      <c r="F166">
        <v>3</v>
      </c>
      <c r="G166">
        <v>3</v>
      </c>
      <c r="H166">
        <v>3</v>
      </c>
      <c r="I166">
        <v>3</v>
      </c>
      <c r="J166">
        <v>1</v>
      </c>
      <c r="K166">
        <v>3</v>
      </c>
      <c r="L166">
        <v>3</v>
      </c>
      <c r="M166">
        <v>2</v>
      </c>
      <c r="N166">
        <v>3</v>
      </c>
      <c r="O166">
        <v>2</v>
      </c>
      <c r="P166">
        <v>1</v>
      </c>
      <c r="Q166">
        <v>2</v>
      </c>
      <c r="R166">
        <v>366.09699999999998</v>
      </c>
      <c r="S166">
        <v>25886.612000000001</v>
      </c>
      <c r="T166" s="1">
        <f t="shared" si="51"/>
        <v>2.8284659267114596</v>
      </c>
      <c r="U166" s="1">
        <f t="shared" si="52"/>
        <v>4.2426988900671896</v>
      </c>
      <c r="V166" s="1">
        <f t="shared" si="53"/>
        <v>0</v>
      </c>
      <c r="W166" s="1">
        <f t="shared" si="54"/>
        <v>4.2426988900671896</v>
      </c>
      <c r="X166" s="1">
        <f t="shared" si="55"/>
        <v>4.2426988900671896</v>
      </c>
      <c r="Y166" s="1">
        <f t="shared" si="64"/>
        <v>4.2426988900671896</v>
      </c>
      <c r="Z166" s="1">
        <f t="shared" si="65"/>
        <v>4.2426988900671896</v>
      </c>
      <c r="AA166" s="1">
        <f t="shared" si="56"/>
        <v>1.4142329633557298</v>
      </c>
      <c r="AB166" s="1">
        <f t="shared" si="57"/>
        <v>4.2426988900671896</v>
      </c>
      <c r="AC166" s="1">
        <f t="shared" si="58"/>
        <v>4.2426988900671896</v>
      </c>
      <c r="AD166" s="1">
        <f t="shared" si="59"/>
        <v>2.8284659267114596</v>
      </c>
      <c r="AE166" s="1">
        <f t="shared" si="60"/>
        <v>4.2426988900671896</v>
      </c>
      <c r="AF166" s="1">
        <f t="shared" si="61"/>
        <v>2.8284659267114596</v>
      </c>
      <c r="AG166" s="1">
        <f t="shared" si="62"/>
        <v>1.4142329633557298</v>
      </c>
      <c r="AH166" s="1">
        <f t="shared" si="63"/>
        <v>2.8284659267114596</v>
      </c>
      <c r="AI166" s="1">
        <f t="shared" si="66"/>
        <v>3.5355824083893248</v>
      </c>
      <c r="AJ166" s="1">
        <f t="shared" si="67"/>
        <v>2.1213494450335948</v>
      </c>
      <c r="AK166" s="1">
        <f t="shared" si="68"/>
        <v>4.2426988900671896</v>
      </c>
      <c r="AL166" s="1">
        <f t="shared" si="69"/>
        <v>2.8284659267114596</v>
      </c>
      <c r="AM166" s="1">
        <f t="shared" si="70"/>
        <v>4.2426988900671896</v>
      </c>
      <c r="AN166" s="1">
        <f t="shared" si="71"/>
        <v>3.5355824083893248</v>
      </c>
      <c r="AO166" s="1">
        <f t="shared" si="72"/>
        <v>2.3570549389262165</v>
      </c>
    </row>
    <row r="167" spans="1:41" x14ac:dyDescent="0.2">
      <c r="A167">
        <v>165</v>
      </c>
      <c r="B167" t="s">
        <v>42</v>
      </c>
      <c r="C167">
        <v>2</v>
      </c>
      <c r="D167">
        <v>2</v>
      </c>
      <c r="E167">
        <v>0</v>
      </c>
      <c r="F167">
        <v>3</v>
      </c>
      <c r="G167">
        <v>3</v>
      </c>
      <c r="H167">
        <v>3</v>
      </c>
      <c r="I167">
        <v>2</v>
      </c>
      <c r="J167">
        <v>1</v>
      </c>
      <c r="K167">
        <v>1</v>
      </c>
      <c r="L167">
        <v>1</v>
      </c>
      <c r="M167">
        <v>1</v>
      </c>
      <c r="N167">
        <v>2</v>
      </c>
      <c r="O167">
        <v>1</v>
      </c>
      <c r="P167">
        <v>1</v>
      </c>
      <c r="Q167">
        <v>0</v>
      </c>
      <c r="R167">
        <v>435.22699999999998</v>
      </c>
      <c r="S167">
        <v>25886.612000000001</v>
      </c>
      <c r="T167" s="1">
        <f t="shared" si="51"/>
        <v>3.3625644020159915</v>
      </c>
      <c r="U167" s="1">
        <f t="shared" si="52"/>
        <v>3.3625644020159915</v>
      </c>
      <c r="V167" s="1">
        <f t="shared" si="53"/>
        <v>0</v>
      </c>
      <c r="W167" s="1">
        <f t="shared" si="54"/>
        <v>5.0438466030239875</v>
      </c>
      <c r="X167" s="1">
        <f t="shared" si="55"/>
        <v>5.0438466030239875</v>
      </c>
      <c r="Y167" s="1">
        <f t="shared" si="64"/>
        <v>5.0438466030239875</v>
      </c>
      <c r="Z167" s="1">
        <f t="shared" si="65"/>
        <v>3.3625644020159915</v>
      </c>
      <c r="AA167" s="1">
        <f t="shared" si="56"/>
        <v>1.6812822010079957</v>
      </c>
      <c r="AB167" s="1">
        <f t="shared" si="57"/>
        <v>1.6812822010079957</v>
      </c>
      <c r="AC167" s="1">
        <f t="shared" si="58"/>
        <v>1.6812822010079957</v>
      </c>
      <c r="AD167" s="1">
        <f t="shared" si="59"/>
        <v>1.6812822010079957</v>
      </c>
      <c r="AE167" s="1">
        <f t="shared" si="60"/>
        <v>3.3625644020159915</v>
      </c>
      <c r="AF167" s="1">
        <f t="shared" si="61"/>
        <v>1.6812822010079957</v>
      </c>
      <c r="AG167" s="1">
        <f t="shared" si="62"/>
        <v>1.6812822010079957</v>
      </c>
      <c r="AH167" s="1">
        <f t="shared" si="63"/>
        <v>0</v>
      </c>
      <c r="AI167" s="1">
        <f t="shared" si="66"/>
        <v>3.3625644020159915</v>
      </c>
      <c r="AJ167" s="1">
        <f t="shared" si="67"/>
        <v>2.5219233015119937</v>
      </c>
      <c r="AK167" s="1">
        <f t="shared" si="68"/>
        <v>4.4834192026879887</v>
      </c>
      <c r="AL167" s="1">
        <f t="shared" si="69"/>
        <v>1.6812822010079957</v>
      </c>
      <c r="AM167" s="1">
        <f t="shared" si="70"/>
        <v>1.6812822010079957</v>
      </c>
      <c r="AN167" s="1">
        <f t="shared" si="71"/>
        <v>2.5219233015119937</v>
      </c>
      <c r="AO167" s="1">
        <f t="shared" si="72"/>
        <v>1.1208548006719972</v>
      </c>
    </row>
    <row r="168" spans="1:41" x14ac:dyDescent="0.2">
      <c r="A168">
        <v>166</v>
      </c>
      <c r="B168" t="s">
        <v>38</v>
      </c>
      <c r="C168">
        <v>1</v>
      </c>
      <c r="D168">
        <v>2</v>
      </c>
      <c r="E168">
        <v>2</v>
      </c>
      <c r="F168">
        <v>3</v>
      </c>
      <c r="G168">
        <v>3</v>
      </c>
      <c r="H168">
        <v>3</v>
      </c>
      <c r="I168">
        <v>3</v>
      </c>
      <c r="J168">
        <v>1</v>
      </c>
      <c r="K168">
        <v>1</v>
      </c>
      <c r="L168">
        <v>3</v>
      </c>
      <c r="M168">
        <v>2</v>
      </c>
      <c r="N168">
        <v>2</v>
      </c>
      <c r="O168">
        <v>0</v>
      </c>
      <c r="P168">
        <v>1</v>
      </c>
      <c r="Q168">
        <v>0</v>
      </c>
      <c r="R168">
        <v>349.01600000000002</v>
      </c>
      <c r="S168">
        <v>25886.612000000001</v>
      </c>
      <c r="T168" s="1">
        <f t="shared" si="51"/>
        <v>1.3482490485815601</v>
      </c>
      <c r="U168" s="1">
        <f t="shared" si="52"/>
        <v>2.6964980971631203</v>
      </c>
      <c r="V168" s="1">
        <f t="shared" si="53"/>
        <v>2.6964980971631203</v>
      </c>
      <c r="W168" s="1">
        <f t="shared" si="54"/>
        <v>4.0447471457446804</v>
      </c>
      <c r="X168" s="1">
        <f t="shared" si="55"/>
        <v>4.0447471457446804</v>
      </c>
      <c r="Y168" s="1">
        <f t="shared" si="64"/>
        <v>4.0447471457446804</v>
      </c>
      <c r="Z168" s="1">
        <f t="shared" si="65"/>
        <v>4.0447471457446804</v>
      </c>
      <c r="AA168" s="1">
        <f t="shared" si="56"/>
        <v>1.3482490485815601</v>
      </c>
      <c r="AB168" s="1">
        <f t="shared" si="57"/>
        <v>1.3482490485815601</v>
      </c>
      <c r="AC168" s="1">
        <f t="shared" si="58"/>
        <v>4.0447471457446804</v>
      </c>
      <c r="AD168" s="1">
        <f t="shared" si="59"/>
        <v>2.6964980971631203</v>
      </c>
      <c r="AE168" s="1">
        <f t="shared" si="60"/>
        <v>2.6964980971631203</v>
      </c>
      <c r="AF168" s="1">
        <f t="shared" si="61"/>
        <v>0</v>
      </c>
      <c r="AG168" s="1">
        <f t="shared" si="62"/>
        <v>1.3482490485815601</v>
      </c>
      <c r="AH168" s="1">
        <f t="shared" si="63"/>
        <v>0</v>
      </c>
      <c r="AI168" s="1">
        <f t="shared" si="66"/>
        <v>2.0223735728723402</v>
      </c>
      <c r="AJ168" s="1">
        <f t="shared" si="67"/>
        <v>3.3706226214539003</v>
      </c>
      <c r="AK168" s="1">
        <f t="shared" si="68"/>
        <v>4.0447471457446804</v>
      </c>
      <c r="AL168" s="1">
        <f t="shared" si="69"/>
        <v>1.3482490485815601</v>
      </c>
      <c r="AM168" s="1">
        <f t="shared" si="70"/>
        <v>4.0447471457446804</v>
      </c>
      <c r="AN168" s="1">
        <f t="shared" si="71"/>
        <v>2.6964980971631203</v>
      </c>
      <c r="AO168" s="1">
        <f t="shared" si="72"/>
        <v>0.44941634952718673</v>
      </c>
    </row>
    <row r="169" spans="1:41" x14ac:dyDescent="0.2">
      <c r="A169">
        <v>167</v>
      </c>
      <c r="B169" t="s">
        <v>74</v>
      </c>
      <c r="C169">
        <v>1</v>
      </c>
      <c r="D169">
        <v>3</v>
      </c>
      <c r="E169">
        <v>2</v>
      </c>
      <c r="F169">
        <v>2</v>
      </c>
      <c r="G169">
        <v>0</v>
      </c>
      <c r="H169">
        <v>1</v>
      </c>
      <c r="I169">
        <v>1</v>
      </c>
      <c r="J169">
        <v>1</v>
      </c>
      <c r="K169">
        <v>0</v>
      </c>
      <c r="L169">
        <v>1</v>
      </c>
      <c r="M169">
        <v>3</v>
      </c>
      <c r="N169">
        <v>3</v>
      </c>
      <c r="O169">
        <v>0</v>
      </c>
      <c r="P169">
        <v>2</v>
      </c>
      <c r="Q169">
        <v>0</v>
      </c>
      <c r="R169">
        <v>95.528000000000006</v>
      </c>
      <c r="S169">
        <v>25886.612000000001</v>
      </c>
      <c r="T169" s="1">
        <f t="shared" si="51"/>
        <v>0.36902472984877283</v>
      </c>
      <c r="U169" s="1">
        <f t="shared" si="52"/>
        <v>1.1070741895463185</v>
      </c>
      <c r="V169" s="1">
        <f t="shared" si="53"/>
        <v>0.73804945969754565</v>
      </c>
      <c r="W169" s="1">
        <f t="shared" si="54"/>
        <v>0.73804945969754565</v>
      </c>
      <c r="X169" s="1">
        <f t="shared" si="55"/>
        <v>0</v>
      </c>
      <c r="Y169" s="1">
        <f t="shared" si="64"/>
        <v>0.36902472984877283</v>
      </c>
      <c r="Z169" s="1">
        <f t="shared" si="65"/>
        <v>0.36902472984877283</v>
      </c>
      <c r="AA169" s="1">
        <f t="shared" si="56"/>
        <v>0.36902472984877283</v>
      </c>
      <c r="AB169" s="1">
        <f t="shared" si="57"/>
        <v>0</v>
      </c>
      <c r="AC169" s="1">
        <f t="shared" si="58"/>
        <v>0.36902472984877283</v>
      </c>
      <c r="AD169" s="1">
        <f t="shared" si="59"/>
        <v>1.1070741895463185</v>
      </c>
      <c r="AE169" s="1">
        <f t="shared" si="60"/>
        <v>1.1070741895463185</v>
      </c>
      <c r="AF169" s="1">
        <f t="shared" si="61"/>
        <v>0</v>
      </c>
      <c r="AG169" s="1">
        <f t="shared" si="62"/>
        <v>0.73804945969754565</v>
      </c>
      <c r="AH169" s="1">
        <f t="shared" si="63"/>
        <v>0</v>
      </c>
      <c r="AI169" s="1">
        <f t="shared" si="66"/>
        <v>0.73804945969754565</v>
      </c>
      <c r="AJ169" s="1">
        <f t="shared" si="67"/>
        <v>0.73804945969754565</v>
      </c>
      <c r="AK169" s="1">
        <f t="shared" si="68"/>
        <v>0.24601648656584854</v>
      </c>
      <c r="AL169" s="1">
        <f t="shared" si="69"/>
        <v>0.18451236492438641</v>
      </c>
      <c r="AM169" s="1">
        <f t="shared" si="70"/>
        <v>0.36902472984877283</v>
      </c>
      <c r="AN169" s="1">
        <f t="shared" si="71"/>
        <v>1.1070741895463185</v>
      </c>
      <c r="AO169" s="1">
        <f t="shared" si="72"/>
        <v>0.24601648656584854</v>
      </c>
    </row>
    <row r="170" spans="1:41" x14ac:dyDescent="0.2">
      <c r="A170">
        <v>168</v>
      </c>
      <c r="B170" t="s">
        <v>72</v>
      </c>
      <c r="C170">
        <v>1</v>
      </c>
      <c r="D170">
        <v>1</v>
      </c>
      <c r="E170">
        <v>3</v>
      </c>
      <c r="F170">
        <v>3</v>
      </c>
      <c r="G170">
        <v>3</v>
      </c>
      <c r="H170">
        <v>3</v>
      </c>
      <c r="I170">
        <v>2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</v>
      </c>
      <c r="Q170">
        <v>0</v>
      </c>
      <c r="R170">
        <v>103.917</v>
      </c>
      <c r="S170">
        <v>25886.612000000001</v>
      </c>
      <c r="T170" s="1">
        <f t="shared" si="51"/>
        <v>0.40143144263142666</v>
      </c>
      <c r="U170" s="1">
        <f t="shared" si="52"/>
        <v>0.40143144263142666</v>
      </c>
      <c r="V170" s="1">
        <f t="shared" si="53"/>
        <v>1.2042943278942799</v>
      </c>
      <c r="W170" s="1">
        <f t="shared" si="54"/>
        <v>1.2042943278942799</v>
      </c>
      <c r="X170" s="1">
        <f t="shared" si="55"/>
        <v>1.2042943278942799</v>
      </c>
      <c r="Y170" s="1">
        <f t="shared" si="64"/>
        <v>1.2042943278942799</v>
      </c>
      <c r="Z170" s="1">
        <f t="shared" si="65"/>
        <v>0.80286288526285332</v>
      </c>
      <c r="AA170" s="1">
        <f t="shared" si="56"/>
        <v>0.40143144263142666</v>
      </c>
      <c r="AB170" s="1">
        <f t="shared" si="57"/>
        <v>0</v>
      </c>
      <c r="AC170" s="1">
        <f t="shared" si="58"/>
        <v>0</v>
      </c>
      <c r="AD170" s="1">
        <f t="shared" si="59"/>
        <v>0</v>
      </c>
      <c r="AE170" s="1">
        <f t="shared" si="60"/>
        <v>0</v>
      </c>
      <c r="AF170" s="1">
        <f t="shared" si="61"/>
        <v>0</v>
      </c>
      <c r="AG170" s="1">
        <f t="shared" si="62"/>
        <v>0.40143144263142666</v>
      </c>
      <c r="AH170" s="1">
        <f t="shared" si="63"/>
        <v>0</v>
      </c>
      <c r="AI170" s="1">
        <f t="shared" si="66"/>
        <v>0.40143144263142666</v>
      </c>
      <c r="AJ170" s="1">
        <f t="shared" si="67"/>
        <v>1.2042943278942799</v>
      </c>
      <c r="AK170" s="1">
        <f t="shared" si="68"/>
        <v>1.0704838470171378</v>
      </c>
      <c r="AL170" s="1">
        <f t="shared" si="69"/>
        <v>0.20071572131571333</v>
      </c>
      <c r="AM170" s="1">
        <f t="shared" si="70"/>
        <v>0</v>
      </c>
      <c r="AN170" s="1">
        <f t="shared" si="71"/>
        <v>0</v>
      </c>
      <c r="AO170" s="1">
        <f t="shared" si="72"/>
        <v>0.13381048087714223</v>
      </c>
    </row>
    <row r="171" spans="1:41" x14ac:dyDescent="0.2">
      <c r="A171">
        <v>169</v>
      </c>
      <c r="B171" t="s">
        <v>73</v>
      </c>
      <c r="C171">
        <v>1</v>
      </c>
      <c r="D171">
        <v>0</v>
      </c>
      <c r="E171">
        <v>3</v>
      </c>
      <c r="F171">
        <v>3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1</v>
      </c>
      <c r="Q171">
        <v>1</v>
      </c>
      <c r="R171">
        <v>32.908999999999999</v>
      </c>
      <c r="S171">
        <v>25886.612000000001</v>
      </c>
      <c r="T171" s="1">
        <f t="shared" si="51"/>
        <v>0.12712748968462925</v>
      </c>
      <c r="U171" s="1">
        <f t="shared" si="52"/>
        <v>0</v>
      </c>
      <c r="V171" s="1">
        <f t="shared" si="53"/>
        <v>0.38138246905388773</v>
      </c>
      <c r="W171" s="1">
        <f t="shared" si="54"/>
        <v>0.38138246905388773</v>
      </c>
      <c r="X171" s="1">
        <f t="shared" si="55"/>
        <v>0</v>
      </c>
      <c r="Y171" s="1">
        <f t="shared" si="64"/>
        <v>0</v>
      </c>
      <c r="Z171" s="1">
        <f t="shared" si="65"/>
        <v>0.12712748968462925</v>
      </c>
      <c r="AA171" s="1">
        <f t="shared" si="56"/>
        <v>0.12712748968462925</v>
      </c>
      <c r="AB171" s="1">
        <f t="shared" si="57"/>
        <v>0</v>
      </c>
      <c r="AC171" s="1">
        <f t="shared" si="58"/>
        <v>0.12712748968462925</v>
      </c>
      <c r="AD171" s="1">
        <f t="shared" si="59"/>
        <v>0</v>
      </c>
      <c r="AE171" s="1">
        <f t="shared" si="60"/>
        <v>0</v>
      </c>
      <c r="AF171" s="1">
        <f t="shared" si="61"/>
        <v>0</v>
      </c>
      <c r="AG171" s="1">
        <f t="shared" si="62"/>
        <v>0.12712748968462925</v>
      </c>
      <c r="AH171" s="1">
        <f t="shared" si="63"/>
        <v>0.12712748968462925</v>
      </c>
      <c r="AI171" s="1">
        <f t="shared" si="66"/>
        <v>6.3563744842314626E-2</v>
      </c>
      <c r="AJ171" s="1">
        <f t="shared" si="67"/>
        <v>0.38138246905388773</v>
      </c>
      <c r="AK171" s="1">
        <f t="shared" si="68"/>
        <v>4.237582989487642E-2</v>
      </c>
      <c r="AL171" s="1">
        <f t="shared" si="69"/>
        <v>6.3563744842314626E-2</v>
      </c>
      <c r="AM171" s="1">
        <f t="shared" si="70"/>
        <v>0.12712748968462925</v>
      </c>
      <c r="AN171" s="1">
        <f t="shared" si="71"/>
        <v>0</v>
      </c>
      <c r="AO171" s="1">
        <f t="shared" si="72"/>
        <v>8.475165978975284E-2</v>
      </c>
    </row>
    <row r="172" spans="1:41" x14ac:dyDescent="0.2">
      <c r="A172">
        <v>170</v>
      </c>
      <c r="B172" t="s">
        <v>57</v>
      </c>
      <c r="C172">
        <v>2</v>
      </c>
      <c r="D172">
        <v>2</v>
      </c>
      <c r="E172">
        <v>3</v>
      </c>
      <c r="F172">
        <v>3</v>
      </c>
      <c r="G172">
        <v>3</v>
      </c>
      <c r="H172">
        <v>3</v>
      </c>
      <c r="I172">
        <v>3</v>
      </c>
      <c r="J172">
        <v>1</v>
      </c>
      <c r="K172">
        <v>2</v>
      </c>
      <c r="L172">
        <v>2</v>
      </c>
      <c r="M172">
        <v>1</v>
      </c>
      <c r="N172">
        <v>2</v>
      </c>
      <c r="O172">
        <v>2</v>
      </c>
      <c r="P172">
        <v>1</v>
      </c>
      <c r="Q172">
        <v>1</v>
      </c>
      <c r="R172">
        <v>92.108999999999995</v>
      </c>
      <c r="S172">
        <v>25886.612000000001</v>
      </c>
      <c r="T172" s="1">
        <f t="shared" si="51"/>
        <v>0.7116342609840175</v>
      </c>
      <c r="U172" s="1">
        <f t="shared" si="52"/>
        <v>0.7116342609840175</v>
      </c>
      <c r="V172" s="1">
        <f t="shared" si="53"/>
        <v>1.0674513914760262</v>
      </c>
      <c r="W172" s="1">
        <f t="shared" si="54"/>
        <v>1.0674513914760262</v>
      </c>
      <c r="X172" s="1">
        <f t="shared" si="55"/>
        <v>1.0674513914760262</v>
      </c>
      <c r="Y172" s="1">
        <f t="shared" si="64"/>
        <v>1.0674513914760262</v>
      </c>
      <c r="Z172" s="1">
        <f t="shared" si="65"/>
        <v>1.0674513914760262</v>
      </c>
      <c r="AA172" s="1">
        <f t="shared" si="56"/>
        <v>0.35581713049200875</v>
      </c>
      <c r="AB172" s="1">
        <f t="shared" si="57"/>
        <v>0.7116342609840175</v>
      </c>
      <c r="AC172" s="1">
        <f t="shared" si="58"/>
        <v>0.7116342609840175</v>
      </c>
      <c r="AD172" s="1">
        <f t="shared" si="59"/>
        <v>0.35581713049200875</v>
      </c>
      <c r="AE172" s="1">
        <f t="shared" si="60"/>
        <v>0.7116342609840175</v>
      </c>
      <c r="AF172" s="1">
        <f t="shared" si="61"/>
        <v>0.7116342609840175</v>
      </c>
      <c r="AG172" s="1">
        <f t="shared" si="62"/>
        <v>0.35581713049200875</v>
      </c>
      <c r="AH172" s="1">
        <f t="shared" si="63"/>
        <v>0.35581713049200875</v>
      </c>
      <c r="AI172" s="1">
        <f t="shared" si="66"/>
        <v>0.7116342609840175</v>
      </c>
      <c r="AJ172" s="1">
        <f t="shared" si="67"/>
        <v>1.0674513914760262</v>
      </c>
      <c r="AK172" s="1">
        <f t="shared" si="68"/>
        <v>1.0674513914760262</v>
      </c>
      <c r="AL172" s="1">
        <f t="shared" si="69"/>
        <v>0.5337256957380131</v>
      </c>
      <c r="AM172" s="1">
        <f t="shared" si="70"/>
        <v>0.7116342609840175</v>
      </c>
      <c r="AN172" s="1">
        <f t="shared" si="71"/>
        <v>0.5337256957380131</v>
      </c>
      <c r="AO172" s="1">
        <f t="shared" si="72"/>
        <v>0.47442284065601165</v>
      </c>
    </row>
    <row r="173" spans="1:41" x14ac:dyDescent="0.2">
      <c r="A173">
        <v>171</v>
      </c>
      <c r="B173" t="s">
        <v>38</v>
      </c>
      <c r="C173">
        <v>2</v>
      </c>
      <c r="D173">
        <v>2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1</v>
      </c>
      <c r="K173">
        <v>2</v>
      </c>
      <c r="L173">
        <v>2</v>
      </c>
      <c r="M173">
        <v>2</v>
      </c>
      <c r="N173">
        <v>3</v>
      </c>
      <c r="O173">
        <v>2</v>
      </c>
      <c r="P173">
        <v>2</v>
      </c>
      <c r="Q173">
        <v>1</v>
      </c>
      <c r="R173">
        <v>154.06200000000001</v>
      </c>
      <c r="S173">
        <v>25886.612000000001</v>
      </c>
      <c r="T173" s="1">
        <f t="shared" si="51"/>
        <v>1.1902832243941386</v>
      </c>
      <c r="U173" s="1">
        <f t="shared" si="52"/>
        <v>1.1902832243941386</v>
      </c>
      <c r="V173" s="1">
        <f t="shared" si="53"/>
        <v>1.7854248365912078</v>
      </c>
      <c r="W173" s="1">
        <f t="shared" si="54"/>
        <v>1.7854248365912078</v>
      </c>
      <c r="X173" s="1">
        <f t="shared" si="55"/>
        <v>1.7854248365912078</v>
      </c>
      <c r="Y173" s="1">
        <f t="shared" si="64"/>
        <v>1.7854248365912078</v>
      </c>
      <c r="Z173" s="1">
        <f t="shared" si="65"/>
        <v>1.7854248365912078</v>
      </c>
      <c r="AA173" s="1">
        <f t="shared" si="56"/>
        <v>0.59514161219706929</v>
      </c>
      <c r="AB173" s="1">
        <f t="shared" si="57"/>
        <v>1.1902832243941386</v>
      </c>
      <c r="AC173" s="1">
        <f t="shared" si="58"/>
        <v>1.1902832243941386</v>
      </c>
      <c r="AD173" s="1">
        <f t="shared" si="59"/>
        <v>1.1902832243941386</v>
      </c>
      <c r="AE173" s="1">
        <f t="shared" si="60"/>
        <v>1.7854248365912078</v>
      </c>
      <c r="AF173" s="1">
        <f t="shared" si="61"/>
        <v>1.1902832243941386</v>
      </c>
      <c r="AG173" s="1">
        <f t="shared" si="62"/>
        <v>1.1902832243941386</v>
      </c>
      <c r="AH173" s="1">
        <f t="shared" si="63"/>
        <v>0.59514161219706929</v>
      </c>
      <c r="AI173" s="1">
        <f t="shared" si="66"/>
        <v>1.1902832243941386</v>
      </c>
      <c r="AJ173" s="1">
        <f t="shared" si="67"/>
        <v>1.7854248365912078</v>
      </c>
      <c r="AK173" s="1">
        <f t="shared" si="68"/>
        <v>1.7854248365912078</v>
      </c>
      <c r="AL173" s="1">
        <f t="shared" si="69"/>
        <v>0.89271241829560388</v>
      </c>
      <c r="AM173" s="1">
        <f t="shared" si="70"/>
        <v>1.1902832243941386</v>
      </c>
      <c r="AN173" s="1">
        <f t="shared" si="71"/>
        <v>1.4878540304926733</v>
      </c>
      <c r="AO173" s="1">
        <f t="shared" si="72"/>
        <v>0.99190268699511552</v>
      </c>
    </row>
    <row r="174" spans="1:41" x14ac:dyDescent="0.2">
      <c r="A174">
        <v>172</v>
      </c>
      <c r="B174" t="s">
        <v>52</v>
      </c>
      <c r="C174">
        <v>1</v>
      </c>
      <c r="D174">
        <v>1</v>
      </c>
      <c r="E174">
        <v>1</v>
      </c>
      <c r="F174">
        <v>3</v>
      </c>
      <c r="G174">
        <v>2</v>
      </c>
      <c r="H174">
        <v>2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0</v>
      </c>
      <c r="R174">
        <v>252.06700000000001</v>
      </c>
      <c r="S174">
        <v>25886.612000000001</v>
      </c>
      <c r="T174" s="1">
        <f t="shared" si="51"/>
        <v>0.97373499475327241</v>
      </c>
      <c r="U174" s="1">
        <f t="shared" si="52"/>
        <v>0.97373499475327241</v>
      </c>
      <c r="V174" s="1">
        <f t="shared" si="53"/>
        <v>0.97373499475327241</v>
      </c>
      <c r="W174" s="1">
        <f t="shared" si="54"/>
        <v>2.9212049842598171</v>
      </c>
      <c r="X174" s="1">
        <f t="shared" si="55"/>
        <v>1.9474699895065448</v>
      </c>
      <c r="Y174" s="1">
        <f t="shared" si="64"/>
        <v>1.9474699895065448</v>
      </c>
      <c r="Z174" s="1">
        <f t="shared" si="65"/>
        <v>0.97373499475327241</v>
      </c>
      <c r="AA174" s="1">
        <f t="shared" si="56"/>
        <v>0.97373499475327241</v>
      </c>
      <c r="AB174" s="1">
        <f t="shared" si="57"/>
        <v>0.97373499475327241</v>
      </c>
      <c r="AC174" s="1">
        <f t="shared" si="58"/>
        <v>0.97373499475327241</v>
      </c>
      <c r="AD174" s="1">
        <f t="shared" si="59"/>
        <v>0.97373499475327241</v>
      </c>
      <c r="AE174" s="1">
        <f t="shared" si="60"/>
        <v>0.97373499475327241</v>
      </c>
      <c r="AF174" s="1">
        <f t="shared" si="61"/>
        <v>0.97373499475327241</v>
      </c>
      <c r="AG174" s="1">
        <f t="shared" si="62"/>
        <v>0.97373499475327241</v>
      </c>
      <c r="AH174" s="1">
        <f t="shared" si="63"/>
        <v>0</v>
      </c>
      <c r="AI174" s="1">
        <f t="shared" si="66"/>
        <v>0.97373499475327241</v>
      </c>
      <c r="AJ174" s="1">
        <f t="shared" si="67"/>
        <v>1.9474699895065448</v>
      </c>
      <c r="AK174" s="1">
        <f t="shared" si="68"/>
        <v>1.6228916579221206</v>
      </c>
      <c r="AL174" s="1">
        <f t="shared" si="69"/>
        <v>0.97373499475327241</v>
      </c>
      <c r="AM174" s="1">
        <f t="shared" si="70"/>
        <v>0.97373499475327241</v>
      </c>
      <c r="AN174" s="1">
        <f t="shared" si="71"/>
        <v>0.97373499475327241</v>
      </c>
      <c r="AO174" s="1">
        <f t="shared" si="72"/>
        <v>0.64915666316884824</v>
      </c>
    </row>
    <row r="175" spans="1:41" x14ac:dyDescent="0.2">
      <c r="A175">
        <v>173</v>
      </c>
      <c r="B175" t="s">
        <v>36</v>
      </c>
      <c r="C175">
        <v>1</v>
      </c>
      <c r="D175">
        <v>1</v>
      </c>
      <c r="E175">
        <v>3</v>
      </c>
      <c r="F175">
        <v>3</v>
      </c>
      <c r="G175">
        <v>3</v>
      </c>
      <c r="H175">
        <v>2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1</v>
      </c>
      <c r="P175">
        <v>1</v>
      </c>
      <c r="Q175">
        <v>0</v>
      </c>
      <c r="R175">
        <v>37.552999999999997</v>
      </c>
      <c r="S175">
        <v>25886.612000000001</v>
      </c>
      <c r="T175" s="1">
        <f t="shared" si="51"/>
        <v>0.14506726488580274</v>
      </c>
      <c r="U175" s="1">
        <f t="shared" si="52"/>
        <v>0.14506726488580274</v>
      </c>
      <c r="V175" s="1">
        <f t="shared" si="53"/>
        <v>0.43520179465740821</v>
      </c>
      <c r="W175" s="1">
        <f t="shared" si="54"/>
        <v>0.43520179465740821</v>
      </c>
      <c r="X175" s="1">
        <f t="shared" si="55"/>
        <v>0.43520179465740821</v>
      </c>
      <c r="Y175" s="1">
        <f t="shared" si="64"/>
        <v>0.29013452977160548</v>
      </c>
      <c r="Z175" s="1">
        <f t="shared" si="65"/>
        <v>0.29013452977160548</v>
      </c>
      <c r="AA175" s="1">
        <f t="shared" si="56"/>
        <v>0.29013452977160548</v>
      </c>
      <c r="AB175" s="1">
        <f t="shared" si="57"/>
        <v>0.29013452977160548</v>
      </c>
      <c r="AC175" s="1">
        <f t="shared" si="58"/>
        <v>0.29013452977160548</v>
      </c>
      <c r="AD175" s="1">
        <f t="shared" si="59"/>
        <v>0.29013452977160548</v>
      </c>
      <c r="AE175" s="1">
        <f t="shared" si="60"/>
        <v>0.29013452977160548</v>
      </c>
      <c r="AF175" s="1">
        <f t="shared" si="61"/>
        <v>0.14506726488580274</v>
      </c>
      <c r="AG175" s="1">
        <f t="shared" si="62"/>
        <v>0.14506726488580274</v>
      </c>
      <c r="AH175" s="1">
        <f t="shared" si="63"/>
        <v>0</v>
      </c>
      <c r="AI175" s="1">
        <f t="shared" si="66"/>
        <v>0.14506726488580274</v>
      </c>
      <c r="AJ175" s="1">
        <f t="shared" si="67"/>
        <v>0.43520179465740821</v>
      </c>
      <c r="AK175" s="1">
        <f t="shared" si="68"/>
        <v>0.33849028473353976</v>
      </c>
      <c r="AL175" s="1">
        <f t="shared" si="69"/>
        <v>0.29013452977160548</v>
      </c>
      <c r="AM175" s="1">
        <f t="shared" si="70"/>
        <v>0.29013452977160548</v>
      </c>
      <c r="AN175" s="1">
        <f t="shared" si="71"/>
        <v>0.29013452977160548</v>
      </c>
      <c r="AO175" s="1">
        <f t="shared" si="72"/>
        <v>9.6711509923868497E-2</v>
      </c>
    </row>
    <row r="176" spans="1:41" x14ac:dyDescent="0.2">
      <c r="A176">
        <v>174</v>
      </c>
      <c r="B176" t="s">
        <v>36</v>
      </c>
      <c r="C176">
        <v>1</v>
      </c>
      <c r="D176">
        <v>2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2</v>
      </c>
      <c r="K176">
        <v>0</v>
      </c>
      <c r="L176">
        <v>1</v>
      </c>
      <c r="M176">
        <v>2</v>
      </c>
      <c r="N176">
        <v>2</v>
      </c>
      <c r="O176">
        <v>1</v>
      </c>
      <c r="P176">
        <v>1</v>
      </c>
      <c r="Q176">
        <v>0</v>
      </c>
      <c r="R176">
        <v>169.608</v>
      </c>
      <c r="S176">
        <v>25886.612000000001</v>
      </c>
      <c r="T176" s="1">
        <f t="shared" si="51"/>
        <v>0.65519582091314221</v>
      </c>
      <c r="U176" s="1">
        <f t="shared" si="52"/>
        <v>1.3103916418262844</v>
      </c>
      <c r="V176" s="1">
        <f t="shared" si="53"/>
        <v>1.9655874627394265</v>
      </c>
      <c r="W176" s="1">
        <f t="shared" si="54"/>
        <v>1.9655874627394265</v>
      </c>
      <c r="X176" s="1">
        <f t="shared" si="55"/>
        <v>1.9655874627394265</v>
      </c>
      <c r="Y176" s="1">
        <f t="shared" si="64"/>
        <v>1.9655874627394265</v>
      </c>
      <c r="Z176" s="1">
        <f t="shared" si="65"/>
        <v>1.9655874627394265</v>
      </c>
      <c r="AA176" s="1">
        <f t="shared" si="56"/>
        <v>1.3103916418262844</v>
      </c>
      <c r="AB176" s="1">
        <f t="shared" si="57"/>
        <v>0</v>
      </c>
      <c r="AC176" s="1">
        <f t="shared" si="58"/>
        <v>0.65519582091314221</v>
      </c>
      <c r="AD176" s="1">
        <f t="shared" si="59"/>
        <v>1.3103916418262844</v>
      </c>
      <c r="AE176" s="1">
        <f t="shared" si="60"/>
        <v>1.3103916418262844</v>
      </c>
      <c r="AF176" s="1">
        <f t="shared" si="61"/>
        <v>0.65519582091314221</v>
      </c>
      <c r="AG176" s="1">
        <f t="shared" si="62"/>
        <v>0.65519582091314221</v>
      </c>
      <c r="AH176" s="1">
        <f t="shared" si="63"/>
        <v>0</v>
      </c>
      <c r="AI176" s="1">
        <f t="shared" si="66"/>
        <v>0.98279373136971326</v>
      </c>
      <c r="AJ176" s="1">
        <f t="shared" si="67"/>
        <v>1.9655874627394265</v>
      </c>
      <c r="AK176" s="1">
        <f t="shared" si="68"/>
        <v>1.9655874627394265</v>
      </c>
      <c r="AL176" s="1">
        <f t="shared" si="69"/>
        <v>0.65519582091314221</v>
      </c>
      <c r="AM176" s="1">
        <f t="shared" si="70"/>
        <v>0.65519582091314221</v>
      </c>
      <c r="AN176" s="1">
        <f t="shared" si="71"/>
        <v>1.3103916418262844</v>
      </c>
      <c r="AO176" s="1">
        <f t="shared" si="72"/>
        <v>0.43679721394209481</v>
      </c>
    </row>
    <row r="177" spans="1:41" x14ac:dyDescent="0.2">
      <c r="A177">
        <v>175</v>
      </c>
      <c r="B177" t="s">
        <v>57</v>
      </c>
      <c r="C177">
        <v>1</v>
      </c>
      <c r="D177">
        <v>2</v>
      </c>
      <c r="E177">
        <v>3</v>
      </c>
      <c r="F177">
        <v>3</v>
      </c>
      <c r="G177">
        <v>3</v>
      </c>
      <c r="H177">
        <v>3</v>
      </c>
      <c r="I177">
        <v>2</v>
      </c>
      <c r="J177">
        <v>1</v>
      </c>
      <c r="K177">
        <v>2</v>
      </c>
      <c r="L177">
        <v>2</v>
      </c>
      <c r="M177">
        <v>2</v>
      </c>
      <c r="N177">
        <v>1</v>
      </c>
      <c r="O177">
        <v>1</v>
      </c>
      <c r="P177">
        <v>0</v>
      </c>
      <c r="Q177">
        <v>1</v>
      </c>
      <c r="R177">
        <v>92.819000000000003</v>
      </c>
      <c r="S177">
        <v>25886.612000000001</v>
      </c>
      <c r="T177" s="1">
        <f t="shared" si="51"/>
        <v>0.35855986098142156</v>
      </c>
      <c r="U177" s="1">
        <f t="shared" si="52"/>
        <v>0.71711972196284313</v>
      </c>
      <c r="V177" s="1">
        <f t="shared" si="53"/>
        <v>1.0756795829442647</v>
      </c>
      <c r="W177" s="1">
        <f t="shared" si="54"/>
        <v>1.0756795829442647</v>
      </c>
      <c r="X177" s="1">
        <f t="shared" si="55"/>
        <v>1.0756795829442647</v>
      </c>
      <c r="Y177" s="1">
        <f t="shared" si="64"/>
        <v>1.0756795829442647</v>
      </c>
      <c r="Z177" s="1">
        <f t="shared" si="65"/>
        <v>0.71711972196284313</v>
      </c>
      <c r="AA177" s="1">
        <f t="shared" si="56"/>
        <v>0.35855986098142156</v>
      </c>
      <c r="AB177" s="1">
        <f t="shared" si="57"/>
        <v>0.71711972196284313</v>
      </c>
      <c r="AC177" s="1">
        <f t="shared" si="58"/>
        <v>0.71711972196284313</v>
      </c>
      <c r="AD177" s="1">
        <f t="shared" si="59"/>
        <v>0.71711972196284313</v>
      </c>
      <c r="AE177" s="1">
        <f t="shared" si="60"/>
        <v>0.35855986098142156</v>
      </c>
      <c r="AF177" s="1">
        <f t="shared" si="61"/>
        <v>0.35855986098142156</v>
      </c>
      <c r="AG177" s="1">
        <f t="shared" si="62"/>
        <v>0</v>
      </c>
      <c r="AH177" s="1">
        <f t="shared" si="63"/>
        <v>0.35855986098142156</v>
      </c>
      <c r="AI177" s="1">
        <f t="shared" si="66"/>
        <v>0.53783979147213234</v>
      </c>
      <c r="AJ177" s="1">
        <f t="shared" si="67"/>
        <v>1.0756795829442647</v>
      </c>
      <c r="AK177" s="1">
        <f t="shared" si="68"/>
        <v>0.95615962928379084</v>
      </c>
      <c r="AL177" s="1">
        <f t="shared" si="69"/>
        <v>0.53783979147213234</v>
      </c>
      <c r="AM177" s="1">
        <f t="shared" si="70"/>
        <v>0.71711972196284313</v>
      </c>
      <c r="AN177" s="1">
        <f t="shared" si="71"/>
        <v>0.53783979147213234</v>
      </c>
      <c r="AO177" s="1">
        <f t="shared" si="72"/>
        <v>0.23903990732094771</v>
      </c>
    </row>
    <row r="178" spans="1:41" x14ac:dyDescent="0.2">
      <c r="A178">
        <v>176</v>
      </c>
      <c r="B178" t="s">
        <v>75</v>
      </c>
      <c r="C178">
        <v>2</v>
      </c>
      <c r="D178">
        <v>3</v>
      </c>
      <c r="E178">
        <v>1</v>
      </c>
      <c r="F178">
        <v>3</v>
      </c>
      <c r="G178">
        <v>3</v>
      </c>
      <c r="H178">
        <v>2</v>
      </c>
      <c r="I178">
        <v>1</v>
      </c>
      <c r="J178">
        <v>1</v>
      </c>
      <c r="K178">
        <v>2</v>
      </c>
      <c r="L178">
        <v>2</v>
      </c>
      <c r="M178">
        <v>2</v>
      </c>
      <c r="N178">
        <v>2</v>
      </c>
      <c r="O178">
        <v>0</v>
      </c>
      <c r="P178">
        <v>1</v>
      </c>
      <c r="Q178">
        <v>0</v>
      </c>
      <c r="R178">
        <v>168.49600000000001</v>
      </c>
      <c r="S178">
        <v>25886.612000000001</v>
      </c>
      <c r="T178" s="1">
        <f t="shared" si="51"/>
        <v>1.3018003282932507</v>
      </c>
      <c r="U178" s="1">
        <f t="shared" si="52"/>
        <v>1.9527004924398761</v>
      </c>
      <c r="V178" s="1">
        <f t="shared" si="53"/>
        <v>0.65090016414662533</v>
      </c>
      <c r="W178" s="1">
        <f t="shared" si="54"/>
        <v>1.9527004924398761</v>
      </c>
      <c r="X178" s="1">
        <f t="shared" si="55"/>
        <v>1.9527004924398761</v>
      </c>
      <c r="Y178" s="1">
        <f t="shared" si="64"/>
        <v>1.3018003282932507</v>
      </c>
      <c r="Z178" s="1">
        <f t="shared" si="65"/>
        <v>0.65090016414662533</v>
      </c>
      <c r="AA178" s="1">
        <f t="shared" si="56"/>
        <v>0.65090016414662533</v>
      </c>
      <c r="AB178" s="1">
        <f t="shared" si="57"/>
        <v>1.3018003282932507</v>
      </c>
      <c r="AC178" s="1">
        <f t="shared" si="58"/>
        <v>1.3018003282932507</v>
      </c>
      <c r="AD178" s="1">
        <f t="shared" si="59"/>
        <v>1.3018003282932507</v>
      </c>
      <c r="AE178" s="1">
        <f t="shared" si="60"/>
        <v>1.3018003282932507</v>
      </c>
      <c r="AF178" s="1">
        <f t="shared" si="61"/>
        <v>0</v>
      </c>
      <c r="AG178" s="1">
        <f t="shared" si="62"/>
        <v>0.65090016414662533</v>
      </c>
      <c r="AH178" s="1">
        <f t="shared" si="63"/>
        <v>0</v>
      </c>
      <c r="AI178" s="1">
        <f t="shared" si="66"/>
        <v>1.6272504103665635</v>
      </c>
      <c r="AJ178" s="1">
        <f t="shared" si="67"/>
        <v>1.3018003282932507</v>
      </c>
      <c r="AK178" s="1">
        <f t="shared" si="68"/>
        <v>1.3018003282932507</v>
      </c>
      <c r="AL178" s="1">
        <f t="shared" si="69"/>
        <v>0.97635024621993804</v>
      </c>
      <c r="AM178" s="1">
        <f t="shared" si="70"/>
        <v>1.3018003282932507</v>
      </c>
      <c r="AN178" s="1">
        <f t="shared" si="71"/>
        <v>1.3018003282932507</v>
      </c>
      <c r="AO178" s="1">
        <f t="shared" si="72"/>
        <v>0.21696672138220843</v>
      </c>
    </row>
    <row r="179" spans="1:41" x14ac:dyDescent="0.2">
      <c r="A179">
        <v>177</v>
      </c>
      <c r="B179" t="s">
        <v>63</v>
      </c>
      <c r="C179">
        <v>1</v>
      </c>
      <c r="D179">
        <v>2</v>
      </c>
      <c r="E179">
        <v>3</v>
      </c>
      <c r="F179">
        <v>3</v>
      </c>
      <c r="G179">
        <v>3</v>
      </c>
      <c r="H179">
        <v>3</v>
      </c>
      <c r="I179">
        <v>2</v>
      </c>
      <c r="J179">
        <v>1</v>
      </c>
      <c r="K179">
        <v>2</v>
      </c>
      <c r="L179">
        <v>2</v>
      </c>
      <c r="M179">
        <v>3</v>
      </c>
      <c r="N179">
        <v>2</v>
      </c>
      <c r="O179">
        <v>1</v>
      </c>
      <c r="P179">
        <v>1</v>
      </c>
      <c r="Q179">
        <v>0</v>
      </c>
      <c r="R179">
        <v>63.609000000000002</v>
      </c>
      <c r="S179">
        <v>25886.612000000001</v>
      </c>
      <c r="T179" s="1">
        <f t="shared" si="51"/>
        <v>0.24572161084656424</v>
      </c>
      <c r="U179" s="1">
        <f t="shared" si="52"/>
        <v>0.49144322169312848</v>
      </c>
      <c r="V179" s="1">
        <f t="shared" si="53"/>
        <v>0.73716483253969267</v>
      </c>
      <c r="W179" s="1">
        <f t="shared" si="54"/>
        <v>0.73716483253969267</v>
      </c>
      <c r="X179" s="1">
        <f t="shared" si="55"/>
        <v>0.73716483253969267</v>
      </c>
      <c r="Y179" s="1">
        <f t="shared" si="64"/>
        <v>0.73716483253969267</v>
      </c>
      <c r="Z179" s="1">
        <f t="shared" si="65"/>
        <v>0.49144322169312848</v>
      </c>
      <c r="AA179" s="1">
        <f t="shared" si="56"/>
        <v>0.24572161084656424</v>
      </c>
      <c r="AB179" s="1">
        <f t="shared" si="57"/>
        <v>0.49144322169312848</v>
      </c>
      <c r="AC179" s="1">
        <f t="shared" si="58"/>
        <v>0.49144322169312848</v>
      </c>
      <c r="AD179" s="1">
        <f t="shared" si="59"/>
        <v>0.73716483253969267</v>
      </c>
      <c r="AE179" s="1">
        <f t="shared" si="60"/>
        <v>0.49144322169312848</v>
      </c>
      <c r="AF179" s="1">
        <f t="shared" si="61"/>
        <v>0.24572161084656424</v>
      </c>
      <c r="AG179" s="1">
        <f t="shared" si="62"/>
        <v>0.24572161084656424</v>
      </c>
      <c r="AH179" s="1">
        <f t="shared" si="63"/>
        <v>0</v>
      </c>
      <c r="AI179" s="1">
        <f t="shared" si="66"/>
        <v>0.36858241626984634</v>
      </c>
      <c r="AJ179" s="1">
        <f t="shared" si="67"/>
        <v>0.73716483253969267</v>
      </c>
      <c r="AK179" s="1">
        <f t="shared" si="68"/>
        <v>0.65525762892417128</v>
      </c>
      <c r="AL179" s="1">
        <f t="shared" si="69"/>
        <v>0.36858241626984634</v>
      </c>
      <c r="AM179" s="1">
        <f t="shared" si="70"/>
        <v>0.49144322169312848</v>
      </c>
      <c r="AN179" s="1">
        <f t="shared" si="71"/>
        <v>0.61430402711641063</v>
      </c>
      <c r="AO179" s="1">
        <f t="shared" si="72"/>
        <v>0.16381440723104282</v>
      </c>
    </row>
    <row r="180" spans="1:41" x14ac:dyDescent="0.2">
      <c r="A180">
        <v>178</v>
      </c>
      <c r="B180" t="s">
        <v>76</v>
      </c>
      <c r="C180">
        <v>1</v>
      </c>
      <c r="D180">
        <v>1</v>
      </c>
      <c r="E180">
        <v>0</v>
      </c>
      <c r="F180">
        <v>2</v>
      </c>
      <c r="G180">
        <v>1</v>
      </c>
      <c r="H180">
        <v>1</v>
      </c>
      <c r="I180">
        <v>0</v>
      </c>
      <c r="J180">
        <v>1</v>
      </c>
      <c r="K180">
        <v>0</v>
      </c>
      <c r="L180">
        <v>1</v>
      </c>
      <c r="M180">
        <v>3</v>
      </c>
      <c r="N180">
        <v>2</v>
      </c>
      <c r="O180">
        <v>1</v>
      </c>
      <c r="P180">
        <v>1</v>
      </c>
      <c r="Q180">
        <v>0</v>
      </c>
      <c r="R180">
        <v>345.065</v>
      </c>
      <c r="S180">
        <v>25886.612000000001</v>
      </c>
      <c r="T180" s="1">
        <f t="shared" si="51"/>
        <v>1.3329863328580811</v>
      </c>
      <c r="U180" s="1">
        <f t="shared" si="52"/>
        <v>1.3329863328580811</v>
      </c>
      <c r="V180" s="1">
        <f t="shared" si="53"/>
        <v>0</v>
      </c>
      <c r="W180" s="1">
        <f t="shared" si="54"/>
        <v>2.6659726657161622</v>
      </c>
      <c r="X180" s="1">
        <f t="shared" si="55"/>
        <v>1.3329863328580811</v>
      </c>
      <c r="Y180" s="1">
        <f t="shared" si="64"/>
        <v>1.3329863328580811</v>
      </c>
      <c r="Z180" s="1">
        <f t="shared" si="65"/>
        <v>0</v>
      </c>
      <c r="AA180" s="1">
        <f t="shared" si="56"/>
        <v>1.3329863328580811</v>
      </c>
      <c r="AB180" s="1">
        <f t="shared" si="57"/>
        <v>0</v>
      </c>
      <c r="AC180" s="1">
        <f t="shared" si="58"/>
        <v>1.3329863328580811</v>
      </c>
      <c r="AD180" s="1">
        <f t="shared" si="59"/>
        <v>3.9989589985742433</v>
      </c>
      <c r="AE180" s="1">
        <f t="shared" si="60"/>
        <v>2.6659726657161622</v>
      </c>
      <c r="AF180" s="1">
        <f t="shared" si="61"/>
        <v>1.3329863328580811</v>
      </c>
      <c r="AG180" s="1">
        <f t="shared" si="62"/>
        <v>1.3329863328580811</v>
      </c>
      <c r="AH180" s="1">
        <f t="shared" si="63"/>
        <v>0</v>
      </c>
      <c r="AI180" s="1">
        <f t="shared" si="66"/>
        <v>1.3329863328580811</v>
      </c>
      <c r="AJ180" s="1">
        <f t="shared" si="67"/>
        <v>1.3329863328580811</v>
      </c>
      <c r="AK180" s="1">
        <f t="shared" si="68"/>
        <v>0.8886575552387207</v>
      </c>
      <c r="AL180" s="1">
        <f t="shared" si="69"/>
        <v>0.66649316642904055</v>
      </c>
      <c r="AM180" s="1">
        <f t="shared" si="70"/>
        <v>1.3329863328580811</v>
      </c>
      <c r="AN180" s="1">
        <f t="shared" si="71"/>
        <v>3.3324658321452025</v>
      </c>
      <c r="AO180" s="1">
        <f t="shared" si="72"/>
        <v>0.8886575552387207</v>
      </c>
    </row>
    <row r="181" spans="1:41" x14ac:dyDescent="0.2">
      <c r="A181">
        <v>179</v>
      </c>
      <c r="B181" t="s">
        <v>76</v>
      </c>
      <c r="C181">
        <v>1</v>
      </c>
      <c r="D181">
        <v>1</v>
      </c>
      <c r="E181">
        <v>0</v>
      </c>
      <c r="F181">
        <v>2</v>
      </c>
      <c r="G181">
        <v>1</v>
      </c>
      <c r="H181">
        <v>1</v>
      </c>
      <c r="I181">
        <v>0</v>
      </c>
      <c r="J181">
        <v>1</v>
      </c>
      <c r="K181">
        <v>0</v>
      </c>
      <c r="L181">
        <v>1</v>
      </c>
      <c r="M181">
        <v>3</v>
      </c>
      <c r="N181">
        <v>2</v>
      </c>
      <c r="O181">
        <v>1</v>
      </c>
      <c r="P181">
        <v>1</v>
      </c>
      <c r="Q181">
        <v>0</v>
      </c>
      <c r="R181">
        <v>368.61200000000002</v>
      </c>
      <c r="S181">
        <v>25886.612000000001</v>
      </c>
      <c r="T181" s="1">
        <f t="shared" si="51"/>
        <v>1.4239484100893545</v>
      </c>
      <c r="U181" s="1">
        <f t="shared" si="52"/>
        <v>1.4239484100893545</v>
      </c>
      <c r="V181" s="1">
        <f t="shared" si="53"/>
        <v>0</v>
      </c>
      <c r="W181" s="1">
        <f t="shared" si="54"/>
        <v>2.8478968201787089</v>
      </c>
      <c r="X181" s="1">
        <f t="shared" si="55"/>
        <v>1.4239484100893545</v>
      </c>
      <c r="Y181" s="1">
        <f t="shared" si="64"/>
        <v>1.4239484100893545</v>
      </c>
      <c r="Z181" s="1">
        <f t="shared" si="65"/>
        <v>0</v>
      </c>
      <c r="AA181" s="1">
        <f t="shared" si="56"/>
        <v>1.4239484100893545</v>
      </c>
      <c r="AB181" s="1">
        <f t="shared" si="57"/>
        <v>0</v>
      </c>
      <c r="AC181" s="1">
        <f t="shared" si="58"/>
        <v>1.4239484100893545</v>
      </c>
      <c r="AD181" s="1">
        <f t="shared" si="59"/>
        <v>4.2718452302680632</v>
      </c>
      <c r="AE181" s="1">
        <f t="shared" si="60"/>
        <v>2.8478968201787089</v>
      </c>
      <c r="AF181" s="1">
        <f t="shared" si="61"/>
        <v>1.4239484100893545</v>
      </c>
      <c r="AG181" s="1">
        <f t="shared" si="62"/>
        <v>1.4239484100893545</v>
      </c>
      <c r="AH181" s="1">
        <f t="shared" si="63"/>
        <v>0</v>
      </c>
      <c r="AI181" s="1">
        <f t="shared" si="66"/>
        <v>1.4239484100893545</v>
      </c>
      <c r="AJ181" s="1">
        <f t="shared" si="67"/>
        <v>1.4239484100893545</v>
      </c>
      <c r="AK181" s="1">
        <f t="shared" si="68"/>
        <v>0.94929894005956961</v>
      </c>
      <c r="AL181" s="1">
        <f t="shared" si="69"/>
        <v>0.71197420504467723</v>
      </c>
      <c r="AM181" s="1">
        <f t="shared" si="70"/>
        <v>1.4239484100893545</v>
      </c>
      <c r="AN181" s="1">
        <f t="shared" si="71"/>
        <v>3.5598710252233863</v>
      </c>
      <c r="AO181" s="1">
        <f t="shared" si="72"/>
        <v>0.94929894005956961</v>
      </c>
    </row>
    <row r="182" spans="1:41" x14ac:dyDescent="0.2">
      <c r="R182">
        <f>SUM(R2:R181)</f>
        <v>25886.265999999996</v>
      </c>
      <c r="S182" s="2" t="s">
        <v>92</v>
      </c>
      <c r="T182" s="3">
        <f>(SUM(T2:T181)/100)</f>
        <v>1.7516327745013534</v>
      </c>
      <c r="U182" s="3">
        <f t="shared" ref="U182:AH182" si="73">(SUM(U2:U181)/100)</f>
        <v>1.946998896572484</v>
      </c>
      <c r="V182" s="3">
        <f t="shared" si="73"/>
        <v>1.8934870658238325</v>
      </c>
      <c r="W182" s="3">
        <f t="shared" si="73"/>
        <v>2.7768584007826149</v>
      </c>
      <c r="X182" s="3">
        <f t="shared" si="73"/>
        <v>2.3802961546300461</v>
      </c>
      <c r="Y182" s="3">
        <f t="shared" si="73"/>
        <v>2.2857956073973673</v>
      </c>
      <c r="Z182" s="3">
        <f t="shared" si="73"/>
        <v>1.6500583776664159</v>
      </c>
      <c r="AA182" s="3">
        <f t="shared" si="73"/>
        <v>1.4757327455597513</v>
      </c>
      <c r="AB182" s="3">
        <f t="shared" si="73"/>
        <v>1.1190505733233849</v>
      </c>
      <c r="AC182" s="3">
        <f t="shared" si="73"/>
        <v>1.6573522637879377</v>
      </c>
      <c r="AD182" s="3">
        <f t="shared" si="73"/>
        <v>1.7580206710712083</v>
      </c>
      <c r="AE182" s="3">
        <f t="shared" si="73"/>
        <v>1.9597056965198858</v>
      </c>
      <c r="AF182" s="3">
        <f t="shared" si="73"/>
        <v>1.3071466053572407</v>
      </c>
      <c r="AG182" s="3">
        <f t="shared" si="73"/>
        <v>1.331919758367762</v>
      </c>
      <c r="AH182" s="3">
        <f t="shared" si="73"/>
        <v>0.66227685569668215</v>
      </c>
      <c r="AI182" s="4">
        <f>(SUM(AI2:AI181)/100)</f>
        <v>1.8493158355369186</v>
      </c>
      <c r="AJ182" s="4">
        <f t="shared" ref="AJ182:AO182" si="74">(SUM(AJ2:AJ181)/100)</f>
        <v>2.3351727333032231</v>
      </c>
      <c r="AK182" s="4">
        <f t="shared" si="74"/>
        <v>2.1053833798979431</v>
      </c>
      <c r="AL182" s="4">
        <f t="shared" si="74"/>
        <v>1.2973916594415684</v>
      </c>
      <c r="AM182" s="4">
        <f t="shared" si="74"/>
        <v>1.6573522637879377</v>
      </c>
      <c r="AN182" s="4">
        <f t="shared" si="74"/>
        <v>1.858863183795546</v>
      </c>
      <c r="AO182" s="4">
        <f t="shared" si="74"/>
        <v>1.1004477398072281</v>
      </c>
    </row>
    <row r="183" spans="1:41" x14ac:dyDescent="0.2">
      <c r="AH183" s="5" t="s">
        <v>100</v>
      </c>
      <c r="AI183" s="6">
        <f>(SUM(AI182:AO182)/7)</f>
        <v>1.743418113652909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 caminhabilidade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Danielle Marques Cazumba</cp:lastModifiedBy>
  <cp:revision>0</cp:revision>
  <dcterms:modified xsi:type="dcterms:W3CDTF">2023-08-24T13:43:04Z</dcterms:modified>
</cp:coreProperties>
</file>